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ll 99 episodes" sheetId="2" state="visible" r:id="rId4"/>
    <sheet name="30-day plan" sheetId="3" state="visible" r:id="rId5"/>
    <sheet name="YouTube videos (fill in)" sheetId="4" state="visible" r:id="rId6"/>
  </sheets>
  <definedNames>
    <definedName function="false" hidden="true" localSheetId="1" name="_xlnm._FilterDatabase" vbProcedure="false">'All 99 episodes'!$A$1:$L$100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Red rows repeat an earlier episode. Filter "Duplicate?" to No to see the 79 distinct shows.</t>
        </r>
      </text>
    </comment>
  </commentList>
</comments>
</file>

<file path=xl/sharedStrings.xml><?xml version="1.0" encoding="utf-8"?>
<sst xmlns="http://schemas.openxmlformats.org/spreadsheetml/2006/main" count="865" uniqueCount="306">
  <si>
    <t xml:space="preserve">Real Choices…Real Life — episode summary</t>
  </si>
  <si>
    <t xml:space="preserve">Every number below is a formula over the "All 99 episodes" sheet, so it updates if you change that sheet.</t>
  </si>
  <si>
    <t xml:space="preserve">Published episodes</t>
  </si>
  <si>
    <t xml:space="preserve">Distinct shows (not duplicates)</t>
  </si>
  <si>
    <t xml:space="preserve">Duplicates (red rows)</t>
  </si>
  <si>
    <t xml:space="preserve">   Identical length (re-air)</t>
  </si>
  <si>
    <t xml:space="preserve">   1:51 longer (same recording, new intro)</t>
  </si>
  <si>
    <t xml:space="preserve">   Different length (listen to check)</t>
  </si>
  <si>
    <t xml:space="preserve">Total running time, all 99</t>
  </si>
  <si>
    <t xml:space="preserve">Running time, distinct shows only</t>
  </si>
  <si>
    <t xml:space="preserve">Episodes already on YouTube as video</t>
  </si>
  <si>
    <t xml:space="preserve">Distinct shows still to upload</t>
  </si>
  <si>
    <t xml:space="preserve">71 if #65 and #77 are the same conversations as #1 and #4; 73 if they are separate recordings. Listen to check.</t>
  </si>
  <si>
    <t xml:space="preserve">Holistic Living</t>
  </si>
  <si>
    <t xml:space="preserve">Spirituality</t>
  </si>
  <si>
    <t xml:space="preserve">Health</t>
  </si>
  <si>
    <t xml:space="preserve">Family &amp; Relationships</t>
  </si>
  <si>
    <t xml:space="preserve">Career &amp; Purpose</t>
  </si>
  <si>
    <t xml:space="preserve">Finances</t>
  </si>
  <si>
    <t xml:space="preserve">Holidays &amp; Year-End</t>
  </si>
  <si>
    <t xml:space="preserve">About Abundance Legacy</t>
  </si>
  <si>
    <t xml:space="preserve">Total</t>
  </si>
  <si>
    <t xml:space="preserve">Source: the Real Choices…Real Life episode list on Buzzsprout (published Jan 5, 2022 – Jan 17, 2024). Duplicates were found by matching titles and exact running times.</t>
  </si>
  <si>
    <t xml:space="preserve">#</t>
  </si>
  <si>
    <t xml:space="preserve">Title</t>
  </si>
  <si>
    <t xml:space="preserve">Published</t>
  </si>
  <si>
    <t xml:space="preserve">Length</t>
  </si>
  <si>
    <t xml:space="preserve">Playlist</t>
  </si>
  <si>
    <t xml:space="preserve">On the episode</t>
  </si>
  <si>
    <t xml:space="preserve">Duplicate?</t>
  </si>
  <si>
    <t xml:space="preserve">Duplicate of #</t>
  </si>
  <si>
    <t xml:space="preserve">How it differs</t>
  </si>
  <si>
    <t xml:space="preserve">Notes</t>
  </si>
  <si>
    <t xml:space="preserve">Buzzsprout link</t>
  </si>
  <si>
    <t xml:space="preserve">Already on YouTube?</t>
  </si>
  <si>
    <t xml:space="preserve">Hosts only</t>
  </si>
  <si>
    <t xml:space="preserve">No</t>
  </si>
  <si>
    <t xml:space="preserve">Repeated later as #65; Pilot episode</t>
  </si>
  <si>
    <t xml:space="preserve">https://www.buzzsprout.com/1891053/episodes</t>
  </si>
  <si>
    <t xml:space="preserve">Discover Your Spirituality</t>
  </si>
  <si>
    <t xml:space="preserve">Yes, as video: "Discovering Your Spirituality" (34:45)</t>
  </si>
  <si>
    <t xml:space="preserve">Health &amp; Relationships</t>
  </si>
  <si>
    <t xml:space="preserve">Yes, as video: "Health &amp; Relationships" (39:32)</t>
  </si>
  <si>
    <t xml:space="preserve">Is Your Career Your Passion?</t>
  </si>
  <si>
    <t xml:space="preserve">Repeated later as #77</t>
  </si>
  <si>
    <t xml:space="preserve">Understanding Energy</t>
  </si>
  <si>
    <t xml:space="preserve">Cindy Tawiah</t>
  </si>
  <si>
    <t xml:space="preserve">Yes, as video: "Understanding Energy 1" (53:13)</t>
  </si>
  <si>
    <t xml:space="preserve">How to Live a Healthy Life</t>
  </si>
  <si>
    <t xml:space="preserve">Steve Bowman (Live and Lead)</t>
  </si>
  <si>
    <t xml:space="preserve">Do I Have the Right Relationships?</t>
  </si>
  <si>
    <t xml:space="preserve">Jessica Karin (co-host)</t>
  </si>
  <si>
    <t xml:space="preserve">Yes, as video: "Do I Have The Right Relationship" (40:05)</t>
  </si>
  <si>
    <t xml:space="preserve">Am I Doing What I Love? If Not Why Not?</t>
  </si>
  <si>
    <t xml:space="preserve">Jolisa Webb Dudley, life coach</t>
  </si>
  <si>
    <t xml:space="preserve">Repeated later as #59</t>
  </si>
  <si>
    <t xml:space="preserve">Yes, as video: "Am I doing what I love, if not why not" (56:02)</t>
  </si>
  <si>
    <t xml:space="preserve">Know Your Numbers</t>
  </si>
  <si>
    <t xml:space="preserve">Nathaniel X. Ross</t>
  </si>
  <si>
    <t xml:space="preserve">Pilot episode</t>
  </si>
  <si>
    <t xml:space="preserve">Understanding Energy Work</t>
  </si>
  <si>
    <t xml:space="preserve">Terri Pippin</t>
  </si>
  <si>
    <t xml:space="preserve">The Importance of Sleep</t>
  </si>
  <si>
    <t xml:space="preserve">Cleaning Up Your Inner Circle</t>
  </si>
  <si>
    <t xml:space="preserve">Repeated later as #63</t>
  </si>
  <si>
    <t xml:space="preserve">Yes, as video: "Cleaning up your inner circle" (42:33)</t>
  </si>
  <si>
    <t xml:space="preserve">How to Overcome Mistakes in the Workplace</t>
  </si>
  <si>
    <t xml:space="preserve">Repeated later as #64</t>
  </si>
  <si>
    <t xml:space="preserve">Hiring the Right Financial Planner</t>
  </si>
  <si>
    <t xml:space="preserve">What is an Intuitive Session?</t>
  </si>
  <si>
    <t xml:space="preserve">Eating Well</t>
  </si>
  <si>
    <t xml:space="preserve">Divorce Cues Are You Listening?</t>
  </si>
  <si>
    <t xml:space="preserve">Jolisa Webb Dudley, divorce coach</t>
  </si>
  <si>
    <t xml:space="preserve">Repeated later as #68</t>
  </si>
  <si>
    <t xml:space="preserve">Understanding Your Credit</t>
  </si>
  <si>
    <t xml:space="preserve">Stephanie Jackson</t>
  </si>
  <si>
    <t xml:space="preserve">Why Is It Important to have a Mentor?</t>
  </si>
  <si>
    <t xml:space="preserve">Greg Moses</t>
  </si>
  <si>
    <t xml:space="preserve">A Spiritual Discussion with Terri Pippin</t>
  </si>
  <si>
    <t xml:space="preserve">Do you have a healthy relationship with yourself?</t>
  </si>
  <si>
    <t xml:space="preserve">The Importance of Budgeting</t>
  </si>
  <si>
    <t xml:space="preserve">What is dating today?</t>
  </si>
  <si>
    <t xml:space="preserve">The three components to finances</t>
  </si>
  <si>
    <t xml:space="preserve">How the family can support during divorce</t>
  </si>
  <si>
    <t xml:space="preserve">Jolisa Webb Dudley (per the production schedule)</t>
  </si>
  <si>
    <t xml:space="preserve">Divorce and Children</t>
  </si>
  <si>
    <t xml:space="preserve">Not listed</t>
  </si>
  <si>
    <t xml:space="preserve">Soul Care</t>
  </si>
  <si>
    <t xml:space="preserve">Stacy Y. Gibson</t>
  </si>
  <si>
    <t xml:space="preserve">Repeated later as #71</t>
  </si>
  <si>
    <t xml:space="preserve">Taking Time to Heal Between Relationships</t>
  </si>
  <si>
    <t xml:space="preserve">Avoiding Risky Substances</t>
  </si>
  <si>
    <t xml:space="preserve">Real Estate</t>
  </si>
  <si>
    <t xml:space="preserve">Hakiim Herring (The Herring Group)</t>
  </si>
  <si>
    <t xml:space="preserve">Cultivating Relationships</t>
  </si>
  <si>
    <t xml:space="preserve">The Importance of Forgiving Yourself for Relational Failures</t>
  </si>
  <si>
    <t xml:space="preserve">Young Black Entrepreneurship</t>
  </si>
  <si>
    <t xml:space="preserve">A Journey Through One's Career</t>
  </si>
  <si>
    <t xml:space="preserve">Amaris Leon</t>
  </si>
  <si>
    <t xml:space="preserve">Dating at Different Ages and Stages</t>
  </si>
  <si>
    <t xml:space="preserve">Community Involvement</t>
  </si>
  <si>
    <t xml:space="preserve">How do I become a life coach?</t>
  </si>
  <si>
    <t xml:space="preserve">How do I leave a legacy for my family?</t>
  </si>
  <si>
    <t xml:space="preserve">Thanksgiving</t>
  </si>
  <si>
    <t xml:space="preserve">Repeated later as #88</t>
  </si>
  <si>
    <t xml:space="preserve">After Thanksgiving Thoughts</t>
  </si>
  <si>
    <t xml:space="preserve">Repeated later as #89</t>
  </si>
  <si>
    <t xml:space="preserve">Being A Podcast Host</t>
  </si>
  <si>
    <t xml:space="preserve">B.J. Martin</t>
  </si>
  <si>
    <t xml:space="preserve">Repeated later as #99</t>
  </si>
  <si>
    <t xml:space="preserve">Year End Wrap up Part One</t>
  </si>
  <si>
    <t xml:space="preserve">Repeated later as #96</t>
  </si>
  <si>
    <t xml:space="preserve">Christmas (Part 1)</t>
  </si>
  <si>
    <t xml:space="preserve">Repeated later as #91</t>
  </si>
  <si>
    <t xml:space="preserve">Year End Wrap Part Two</t>
  </si>
  <si>
    <t xml:space="preserve">Repeated later as #97; Pilot episode</t>
  </si>
  <si>
    <t xml:space="preserve">After Christmas Has Past</t>
  </si>
  <si>
    <t xml:space="preserve">Repeated later as #92</t>
  </si>
  <si>
    <t xml:space="preserve">Being a Health Advocate</t>
  </si>
  <si>
    <t xml:space="preserve">Repeated later as #98; Pilot episode</t>
  </si>
  <si>
    <t xml:space="preserve">New Beginnings for 2023</t>
  </si>
  <si>
    <t xml:space="preserve">Introducing Abundance Legacy!</t>
  </si>
  <si>
    <t xml:space="preserve">Nathaniel X. Ross and team</t>
  </si>
  <si>
    <t xml:space="preserve">Health 2023</t>
  </si>
  <si>
    <t xml:space="preserve">Relationships</t>
  </si>
  <si>
    <t xml:space="preserve">Career 2023</t>
  </si>
  <si>
    <t xml:space="preserve">Finances 2023</t>
  </si>
  <si>
    <t xml:space="preserve">ABL Services - Part One</t>
  </si>
  <si>
    <t xml:space="preserve">ABL Services - Part Two</t>
  </si>
  <si>
    <t xml:space="preserve">Coaching - Part 1</t>
  </si>
  <si>
    <t xml:space="preserve">Repeated later as #93</t>
  </si>
  <si>
    <t xml:space="preserve">Coaching - Part 2</t>
  </si>
  <si>
    <t xml:space="preserve">Repeated later as #94</t>
  </si>
  <si>
    <t xml:space="preserve">Women's Impact</t>
  </si>
  <si>
    <t xml:space="preserve">Sabine Vicoso David (Lunovi Real Estate)</t>
  </si>
  <si>
    <t xml:space="preserve">Yes</t>
  </si>
  <si>
    <t xml:space="preserve">Identical length (re-air)</t>
  </si>
  <si>
    <t xml:space="preserve">Deep Dive into Relationships Part 1</t>
  </si>
  <si>
    <t xml:space="preserve">Repeated later as #81</t>
  </si>
  <si>
    <t xml:space="preserve">Deep Dive Into Relationships Part 2</t>
  </si>
  <si>
    <t xml:space="preserve">Repeated later as #82</t>
  </si>
  <si>
    <t xml:space="preserve">Natural Health Care</t>
  </si>
  <si>
    <t xml:space="preserve">JulieAnn Engel</t>
  </si>
  <si>
    <t xml:space="preserve">Different length (listen to check)</t>
  </si>
  <si>
    <t xml:space="preserve">Yes, as video: "Holistic Living" (37:03)</t>
  </si>
  <si>
    <t xml:space="preserve">Father's Day</t>
  </si>
  <si>
    <t xml:space="preserve">Nate, Jessica and Stephanie</t>
  </si>
  <si>
    <t xml:space="preserve">Father's Day Part Two</t>
  </si>
  <si>
    <t xml:space="preserve">Health - Know Your Labels</t>
  </si>
  <si>
    <t xml:space="preserve">Family (Cleaning up your inner circle)</t>
  </si>
  <si>
    <t xml:space="preserve">Holistic Education</t>
  </si>
  <si>
    <t xml:space="preserve">How Do You Handle Death?</t>
  </si>
  <si>
    <t xml:space="preserve">Finance 2023</t>
  </si>
  <si>
    <t xml:space="preserve">Repeated later as #95; Pilot episode</t>
  </si>
  <si>
    <t xml:space="preserve">Inner Victory Champions</t>
  </si>
  <si>
    <t xml:space="preserve">Accolon Hollingsworth</t>
  </si>
  <si>
    <t xml:space="preserve">https://www.buzzsprout.com/1891053/episodes/13334191-inner-victory-champions</t>
  </si>
  <si>
    <t xml:space="preserve">A Conversation with Robin Tasco</t>
  </si>
  <si>
    <t xml:space="preserve">Robin Tasco</t>
  </si>
  <si>
    <t xml:space="preserve">https://www.buzzsprout.com/1891053/episodes/13373768-a-conversation-with-robin-tasco</t>
  </si>
  <si>
    <t xml:space="preserve">https://www.buzzsprout.com/1891053/episodes/13415954-is-your-career-your-passion</t>
  </si>
  <si>
    <t xml:space="preserve">Yes, as video: "Is Your Career Your Passion" (38:07)</t>
  </si>
  <si>
    <t xml:space="preserve">Short Cuts and Baggage</t>
  </si>
  <si>
    <t xml:space="preserve">https://www.buzzsprout.com/1891053/episodes/13456987-short-cuts-and-baggage</t>
  </si>
  <si>
    <t xml:space="preserve">Toxic Relationship Advice (Women's Edition)</t>
  </si>
  <si>
    <t xml:space="preserve">https://www.buzzsprout.com/1891053/episodes/13495136-toxic-relationship-advice-women-s-edition</t>
  </si>
  <si>
    <t xml:space="preserve">Toxic Relationship Advice (Men's Edition)</t>
  </si>
  <si>
    <t xml:space="preserve">https://www.buzzsprout.com/1891053/episodes/13537156-toxic-relationship-advice-men-s-edition</t>
  </si>
  <si>
    <t xml:space="preserve">https://www.buzzsprout.com/1891053/episodes/13581203-deep-dive-into-relationships-part-1</t>
  </si>
  <si>
    <t xml:space="preserve">https://www.buzzsprout.com/1891053/episodes/13627189-deep-dive-into-relationships-part-2</t>
  </si>
  <si>
    <t xml:space="preserve">Relationship Transitions</t>
  </si>
  <si>
    <t xml:space="preserve">Marissa Bloedoorn (TCS Consulting)</t>
  </si>
  <si>
    <t xml:space="preserve">https://www.buzzsprout.com/1891053/episodes/13671939-relationship-transitions</t>
  </si>
  <si>
    <t xml:space="preserve">Relationships from the Couples Perspective</t>
  </si>
  <si>
    <t xml:space="preserve">Hosts and guests</t>
  </si>
  <si>
    <t xml:space="preserve">https://www.buzzsprout.com/1891053/episodes/13714633-relationships-from-the-couples-perspective</t>
  </si>
  <si>
    <t xml:space="preserve">How Your Finances Impact Your Life</t>
  </si>
  <si>
    <t xml:space="preserve">https://www.buzzsprout.com/1891053/episodes/13758254-how-your-finances-impact-your-life</t>
  </si>
  <si>
    <t xml:space="preserve">The Six Elements of Good Health Part One</t>
  </si>
  <si>
    <t xml:space="preserve">https://www.buzzsprout.com/1891053/episodes/13801515-the-six-elements-of-good-health-part-one</t>
  </si>
  <si>
    <t xml:space="preserve">The Six Elements of Good Health Part Two</t>
  </si>
  <si>
    <t xml:space="preserve">https://www.buzzsprout.com/1891053/episodes/13843681-the-six-elements-of-good-health-part-two</t>
  </si>
  <si>
    <t xml:space="preserve">1:51 longer (same recording, new intro)</t>
  </si>
  <si>
    <t xml:space="preserve">https://www.buzzsprout.com/1891053/episodes/13888609-thanksgiving</t>
  </si>
  <si>
    <t xml:space="preserve">https://www.buzzsprout.com/1891053/episodes/13933555-after-thanksgiving-thoughts</t>
  </si>
  <si>
    <t xml:space="preserve">Investments</t>
  </si>
  <si>
    <t xml:space="preserve">https://www.buzzsprout.com/1891053/episodes/13978357-investments</t>
  </si>
  <si>
    <t xml:space="preserve">https://www.buzzsprout.com/1891053/episodes/14014601-christmas-part-1</t>
  </si>
  <si>
    <t xml:space="preserve">https://www.buzzsprout.com/1891053/episodes/14014609-after-christmas-has-past</t>
  </si>
  <si>
    <t xml:space="preserve">https://www.buzzsprout.com/1891053/episodes/14100273-coaching-part-1</t>
  </si>
  <si>
    <t xml:space="preserve">https://www.buzzsprout.com/1891053/episodes/14135763-coaching-part-2</t>
  </si>
  <si>
    <t xml:space="preserve">https://www.buzzsprout.com/1891053/episodes/14135799-finance-2023</t>
  </si>
  <si>
    <t xml:space="preserve">https://www.buzzsprout.com/1891053/episodes/14135865-year-end-wrap-up-part-one</t>
  </si>
  <si>
    <t xml:space="preserve">https://www.buzzsprout.com/1891053/episodes/14135878-year-end-wrap-part-two</t>
  </si>
  <si>
    <t xml:space="preserve">https://www.buzzsprout.com/1891053/episodes/14270934-being-a-health-advocate</t>
  </si>
  <si>
    <t xml:space="preserve">https://www.buzzsprout.com/1891053/episodes/14327001-being-a-podcast-host</t>
  </si>
  <si>
    <t xml:space="preserve">30-day relaunch plan</t>
  </si>
  <si>
    <t xml:space="preserve">Start date</t>
  </si>
  <si>
    <t xml:space="preserve">← Change this yellow cell and every date below moves with it.</t>
  </si>
  <si>
    <t xml:space="preserve">Day</t>
  </si>
  <si>
    <t xml:space="preserve">Date</t>
  </si>
  <si>
    <t xml:space="preserve">Focus</t>
  </si>
  <si>
    <t xml:space="preserve">What to do</t>
  </si>
  <si>
    <t xml:space="preserve">Episodes (#, title)</t>
  </si>
  <si>
    <t xml:space="preserve">Done?</t>
  </si>
  <si>
    <t xml:space="preserve">Before snapshot</t>
  </si>
  <si>
    <t xml:space="preserve">Screen-record the channel. Save views, watch time and subscribers from YouTube Studio → Analytics. Fix or delete the broken playlist.</t>
  </si>
  <si>
    <t xml:space="preserve">Set up</t>
  </si>
  <si>
    <t xml:space="preserve">Create the 8 playlists. Write the description template (what you'll learn, who's on it, one link, rights line, hashtags). Send Nate the 7 questions.</t>
  </si>
  <si>
    <t xml:space="preserve">Pilot, part 1</t>
  </si>
  <si>
    <t xml:space="preserve">Play the first minute of each pilot file to confirm the copy. Write titles, descriptions, thumbnails.</t>
  </si>
  <si>
    <t xml:space="preserve">#1 Holistic Living; #9 Know Your Numbers; #44 Year End Wrap Part Two; #46 Being a Health Advocate; #74 Finance 2023</t>
  </si>
  <si>
    <t xml:space="preserve">Pilot, part 2</t>
  </si>
  <si>
    <t xml:space="preserve">Upload the 5 pilot episodes to their playlists. Cut 2–3 shorts from each and schedule them.</t>
  </si>
  <si>
    <t xml:space="preserve">Same 5 as day 3</t>
  </si>
  <si>
    <t xml:space="preserve">Upload: Holistic Living</t>
  </si>
  <si>
    <t xml:space="preserve">Upload these, add to their playlist, cut 2–3 shorts each. Keep repeats off YouTube.</t>
  </si>
  <si>
    <t xml:space="preserve">#36 Community Involvement; #47 New Beginnings for 2023; #72 Holistic Education</t>
  </si>
  <si>
    <t xml:space="preserve">Upload: Finances, Holistic Living</t>
  </si>
  <si>
    <t xml:space="preserve">#73 How Do You Handle Death?; #14 Hiring the Right Financial Planner; #18 Understanding Your Credit</t>
  </si>
  <si>
    <t xml:space="preserve">Upload: Finances</t>
  </si>
  <si>
    <t xml:space="preserve">#22 The Importance of Budgeting; #24 The three components to finances; #30 Real Estate</t>
  </si>
  <si>
    <t xml:space="preserve">#38 How do I leave a legacy for my family?; #53 Finances 2023; #85 How Your Finances Impact Your Life</t>
  </si>
  <si>
    <t xml:space="preserve">Upload: Finances, Spirituality</t>
  </si>
  <si>
    <t xml:space="preserve">#90 Investments; #2 Discover Your Spirituality; #5 Understanding Energy</t>
  </si>
  <si>
    <t xml:space="preserve">Upload: Spirituality</t>
  </si>
  <si>
    <t xml:space="preserve">#10 Understanding Energy Work; #15 What is an Intuitive Session?; #20 A Spiritual Discussion with Terri Pippin</t>
  </si>
  <si>
    <t xml:space="preserve">Upload: Career &amp; Purpose, Spirituality</t>
  </si>
  <si>
    <t xml:space="preserve">#27 Soul Care; #49 Spirituality; #4 Is Your Career Your Passion?</t>
  </si>
  <si>
    <t xml:space="preserve">Upload: Career &amp; Purpose</t>
  </si>
  <si>
    <t xml:space="preserve">#8 Am I Doing What I Love? If Not Why Not?; #13 How to Overcome Mistakes in the Workplace; #19 Why Is It Important to have a Mentor?</t>
  </si>
  <si>
    <t xml:space="preserve">#33 Young Black Entrepreneurship; #34 A Journey Through One's Career; #37 How do I become a life coach?</t>
  </si>
  <si>
    <t xml:space="preserve">#41 Being A Podcast Host; #52 Career 2023; #56 Coaching - Part 1</t>
  </si>
  <si>
    <t xml:space="preserve">#57 Coaching - Part 2; #58 Women's Impact; #75 Inner Victory Champions</t>
  </si>
  <si>
    <t xml:space="preserve">Upload: Career &amp; Purpose, Health</t>
  </si>
  <si>
    <t xml:space="preserve">#76 A Conversation with Robin Tasco; #3 Health &amp; Relationships; #6 How to Live a Healthy Life</t>
  </si>
  <si>
    <t xml:space="preserve">Upload: Health</t>
  </si>
  <si>
    <t xml:space="preserve">#11 The Importance of Sleep; #16 Eating Well; #29 Avoiding Risky Substances</t>
  </si>
  <si>
    <t xml:space="preserve">#50 Health 2023; #62 Natural Health Care; #69 Health - Know Your Labels</t>
  </si>
  <si>
    <t xml:space="preserve">Upload: Family &amp; Relationships, Health</t>
  </si>
  <si>
    <t xml:space="preserve">#86 The Six Elements of Good Health Part One; #87 The Six Elements of Good Health Part Two; #7 Do I Have the Right Relationships?</t>
  </si>
  <si>
    <t xml:space="preserve">Upload: Family &amp; Relationships</t>
  </si>
  <si>
    <t xml:space="preserve">#12 Cleaning Up Your Inner Circle; #17 Divorce Cues Are You Listening?; #21 Do you have a healthy relationship with yourself?</t>
  </si>
  <si>
    <t xml:space="preserve">#23 What is dating today?; #25 How the family can support during divorce; #26 Divorce and Children</t>
  </si>
  <si>
    <t xml:space="preserve">#28 Taking Time to Heal Between Relationships; #31 Cultivating Relationships; #32 The Importance of Forgiving Yourself for Relational Failures</t>
  </si>
  <si>
    <t xml:space="preserve">#35 Dating at Different Ages and Stages; #51 Relationships; #60 Deep Dive into Relationships Part 1</t>
  </si>
  <si>
    <t xml:space="preserve">#61 Deep Dive Into Relationships Part 2; #70 Family (Cleaning up your inner circle); #78 Short Cuts and Baggage</t>
  </si>
  <si>
    <t xml:space="preserve">#79 Toxic Relationship Advice (Women's Edition); #80 Toxic Relationship Advice (Men's Edition); #83 Relationship Transitions</t>
  </si>
  <si>
    <t xml:space="preserve">Upload: Family &amp; Relationships, Holidays &amp; Year-End</t>
  </si>
  <si>
    <t xml:space="preserve">#84 Relationships from the Couples Perspective; #39 Thanksgiving; #40 After Thanksgiving Thoughts</t>
  </si>
  <si>
    <t xml:space="preserve">Upload: Holidays &amp; Year-End</t>
  </si>
  <si>
    <t xml:space="preserve">#42 Year End Wrap up Part One; #43 Christmas (Part 1); #45 After Christmas Has Past</t>
  </si>
  <si>
    <t xml:space="preserve">Upload: About Abundance Legacy, Holidays &amp; Year-End</t>
  </si>
  <si>
    <t xml:space="preserve">#66 Father's Day; #67 Father's Day Part Two; #48 Introducing Abundance Legacy!</t>
  </si>
  <si>
    <t xml:space="preserve">Upload: About Abundance Legacy</t>
  </si>
  <si>
    <t xml:space="preserve">#54 ABL Services - Part One; #55 ABL Services - Part Two</t>
  </si>
  <si>
    <t xml:space="preserve">Review</t>
  </si>
  <si>
    <t xml:space="preserve">Compare this week's numbers with the Day 1 snapshot. Send Nate the before-and-after.</t>
  </si>
  <si>
    <t xml:space="preserve">Days 5–29 cover the other 74 distinct shows, 3 a day. Blue-shaded rows are the pilot.</t>
  </si>
  <si>
    <t xml:space="preserve">Compare the YouTube channel with the 99 episodes</t>
  </si>
  <si>
    <t xml:space="preserve">Rows 5–20 were read from the channel’s Videos tab on Sept 30, 2026. Add the ~51 "It’s Your Life OWN It" videos below them (YouTube Studio → Content lists every title). Column D matches a podcast episode automatically when the title is identical.</t>
  </si>
  <si>
    <t xml:space="preserve">YouTube title</t>
  </si>
  <si>
    <t xml:space="preserve">Link or length</t>
  </si>
  <si>
    <t xml:space="preserve">Views</t>
  </si>
  <si>
    <t xml:space="preserve">Matching episode #</t>
  </si>
  <si>
    <t xml:space="preserve">Duplicate on YouTube?</t>
  </si>
  <si>
    <t xml:space="preserve">Playlist it belongs in</t>
  </si>
  <si>
    <t xml:space="preserve">Type</t>
  </si>
  <si>
    <t xml:space="preserve">Length 39:32</t>
  </si>
  <si>
    <t xml:space="preserve">Podcast #3 on video; length matches. Retitle, describe, add to playlist.</t>
  </si>
  <si>
    <t xml:space="preserve">Podcast episode (video)</t>
  </si>
  <si>
    <t xml:space="preserve">Discovering Your Spirituality</t>
  </si>
  <si>
    <t xml:space="preserve">Length 34:45</t>
  </si>
  <si>
    <t xml:space="preserve">Podcast #2 on video; length matches. Retitle, describe, add to playlist.</t>
  </si>
  <si>
    <t xml:space="preserve">Understanding Energy 1</t>
  </si>
  <si>
    <t xml:space="preserve">Length 53:13</t>
  </si>
  <si>
    <t xml:space="preserve">Podcast #5 on video; length matches. Retitle, describe, add to playlist.</t>
  </si>
  <si>
    <t xml:space="preserve">Am I doing what I love, if not why not</t>
  </si>
  <si>
    <t xml:space="preserve">Length 56:02</t>
  </si>
  <si>
    <t xml:space="preserve">Podcast #8 on video; length matches. Retitle, describe, add to playlist.</t>
  </si>
  <si>
    <t xml:space="preserve">Do I Have The Right Relationship</t>
  </si>
  <si>
    <t xml:space="preserve">Length 40:05</t>
  </si>
  <si>
    <t xml:space="preserve">Podcast #7 on video; length matches. Retitle, describe, add to playlist.</t>
  </si>
  <si>
    <t xml:space="preserve">Length 37:03</t>
  </si>
  <si>
    <t xml:space="preserve">Podcast #65 on video; length matches. Retitle, describe, add to playlist.</t>
  </si>
  <si>
    <t xml:space="preserve">Is Your Career Your Passion</t>
  </si>
  <si>
    <t xml:space="preserve">Length 38:07</t>
  </si>
  <si>
    <t xml:space="preserve">Podcast #77 on video; length matches. Retitle, describe, add to playlist.</t>
  </si>
  <si>
    <t xml:space="preserve">Cleaning up your inner circle</t>
  </si>
  <si>
    <t xml:space="preserve">Length 42:33</t>
  </si>
  <si>
    <t xml:space="preserve">Podcast #12 on video; length matches. Retitle, describe, add to playlist.</t>
  </si>
  <si>
    <t xml:space="preserve">Real Choices Real Life Podcast Commercial</t>
  </si>
  <si>
    <t xml:space="preserve">Length 0:55</t>
  </si>
  <si>
    <t xml:space="preserve">Promo — not an episode</t>
  </si>
  <si>
    <t xml:space="preserve">Short promo</t>
  </si>
  <si>
    <t xml:space="preserve">Promo</t>
  </si>
  <si>
    <t xml:space="preserve">Women Group Commercial</t>
  </si>
  <si>
    <t xml:space="preserve">Length 0:54</t>
  </si>
  <si>
    <t xml:space="preserve">Men’s Group Commercial</t>
  </si>
  <si>
    <t xml:space="preserve">Length 0:56</t>
  </si>
  <si>
    <t xml:space="preserve">Hump Revised Video 2</t>
  </si>
  <si>
    <t xml:space="preserve">Donation Video</t>
  </si>
  <si>
    <t xml:space="preserve">Article Video</t>
  </si>
  <si>
    <t xml:space="preserve">Financial Boot Camp Commercial</t>
  </si>
  <si>
    <t xml:space="preserve">Length 1:40</t>
  </si>
  <si>
    <t xml:space="preserve">Choice Video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</si>
</sst>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[h]:mm"/>
    <numFmt numFmtId="167" formatCode="mmm\ d&quot;, &quot;yyyy"/>
    <numFmt numFmtId="168" formatCode="[h]:mm:ss"/>
    <numFmt numFmtId="169" formatCode="ddd\ mmm\ d&quot;, &quot;yyyy"/>
    <numFmt numFmtId="170" formatCode="ddd\ mmm\ d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F789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sz val="11"/>
      <color rgb="FF9C0006"/>
      <name val="Arial"/>
      <family val="0"/>
      <charset val="1"/>
    </font>
    <font>
      <u val="single"/>
      <sz val="11"/>
      <color rgb="FF9C0006"/>
      <name val="Arial"/>
      <family val="0"/>
      <charset val="1"/>
    </font>
    <font>
      <sz val="10"/>
      <name val="Arial"/>
      <family val="2"/>
    </font>
    <font>
      <sz val="11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B4F6C"/>
        <bgColor rgb="FF0563C1"/>
      </patternFill>
    </fill>
    <fill>
      <patternFill patternType="solid">
        <fgColor rgb="FFDDEBF7"/>
        <bgColor rgb="FFE8F6FB"/>
      </patternFill>
    </fill>
    <fill>
      <patternFill patternType="solid">
        <fgColor rgb="FFFFC7CE"/>
        <bgColor rgb="FFC9D6DF"/>
      </patternFill>
    </fill>
    <fill>
      <patternFill patternType="solid">
        <fgColor rgb="FFFFFF00"/>
        <bgColor rgb="FFFFFF00"/>
      </patternFill>
    </fill>
    <fill>
      <patternFill patternType="solid">
        <fgColor rgb="FFE8F6FB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D6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B4F6C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DDEBF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6FB"/>
      <rgbColor rgb="FF660066"/>
      <rgbColor rgb="FFFF8080"/>
      <rgbColor rgb="FF0563C1"/>
      <rgbColor rgb="FFC9D6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F7890"/>
      <rgbColor rgb="FF969696"/>
      <rgbColor rgb="FF0B4F6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buzzsprout.com/1891053/episodes" TargetMode="External"/><Relationship Id="rId3" Type="http://schemas.openxmlformats.org/officeDocument/2006/relationships/hyperlink" Target="https://www.buzzsprout.com/1891053/episodes" TargetMode="External"/><Relationship Id="rId4" Type="http://schemas.openxmlformats.org/officeDocument/2006/relationships/hyperlink" Target="https://www.buzzsprout.com/1891053/episodes" TargetMode="External"/><Relationship Id="rId5" Type="http://schemas.openxmlformats.org/officeDocument/2006/relationships/hyperlink" Target="https://www.buzzsprout.com/1891053/episodes" TargetMode="External"/><Relationship Id="rId6" Type="http://schemas.openxmlformats.org/officeDocument/2006/relationships/hyperlink" Target="https://www.buzzsprout.com/1891053/episodes" TargetMode="External"/><Relationship Id="rId7" Type="http://schemas.openxmlformats.org/officeDocument/2006/relationships/hyperlink" Target="https://www.buzzsprout.com/1891053/episodes" TargetMode="External"/><Relationship Id="rId8" Type="http://schemas.openxmlformats.org/officeDocument/2006/relationships/hyperlink" Target="https://www.buzzsprout.com/1891053/episodes" TargetMode="External"/><Relationship Id="rId9" Type="http://schemas.openxmlformats.org/officeDocument/2006/relationships/hyperlink" Target="https://www.buzzsprout.com/1891053/episodes" TargetMode="External"/><Relationship Id="rId10" Type="http://schemas.openxmlformats.org/officeDocument/2006/relationships/hyperlink" Target="https://www.buzzsprout.com/1891053/episodes" TargetMode="External"/><Relationship Id="rId11" Type="http://schemas.openxmlformats.org/officeDocument/2006/relationships/hyperlink" Target="https://www.buzzsprout.com/1891053/episodes" TargetMode="External"/><Relationship Id="rId12" Type="http://schemas.openxmlformats.org/officeDocument/2006/relationships/hyperlink" Target="https://www.buzzsprout.com/1891053/episodes" TargetMode="External"/><Relationship Id="rId13" Type="http://schemas.openxmlformats.org/officeDocument/2006/relationships/hyperlink" Target="https://www.buzzsprout.com/1891053/episodes" TargetMode="External"/><Relationship Id="rId14" Type="http://schemas.openxmlformats.org/officeDocument/2006/relationships/hyperlink" Target="https://www.buzzsprout.com/1891053/episodes" TargetMode="External"/><Relationship Id="rId15" Type="http://schemas.openxmlformats.org/officeDocument/2006/relationships/hyperlink" Target="https://www.buzzsprout.com/1891053/episodes" TargetMode="External"/><Relationship Id="rId16" Type="http://schemas.openxmlformats.org/officeDocument/2006/relationships/hyperlink" Target="https://www.buzzsprout.com/1891053/episodes" TargetMode="External"/><Relationship Id="rId17" Type="http://schemas.openxmlformats.org/officeDocument/2006/relationships/hyperlink" Target="https://www.buzzsprout.com/1891053/episodes" TargetMode="External"/><Relationship Id="rId18" Type="http://schemas.openxmlformats.org/officeDocument/2006/relationships/hyperlink" Target="https://www.buzzsprout.com/1891053/episodes" TargetMode="External"/><Relationship Id="rId19" Type="http://schemas.openxmlformats.org/officeDocument/2006/relationships/hyperlink" Target="https://www.buzzsprout.com/1891053/episodes" TargetMode="External"/><Relationship Id="rId20" Type="http://schemas.openxmlformats.org/officeDocument/2006/relationships/hyperlink" Target="https://www.buzzsprout.com/1891053/episodes" TargetMode="External"/><Relationship Id="rId21" Type="http://schemas.openxmlformats.org/officeDocument/2006/relationships/hyperlink" Target="https://www.buzzsprout.com/1891053/episodes" TargetMode="External"/><Relationship Id="rId22" Type="http://schemas.openxmlformats.org/officeDocument/2006/relationships/hyperlink" Target="https://www.buzzsprout.com/1891053/episodes" TargetMode="External"/><Relationship Id="rId23" Type="http://schemas.openxmlformats.org/officeDocument/2006/relationships/hyperlink" Target="https://www.buzzsprout.com/1891053/episodes" TargetMode="External"/><Relationship Id="rId24" Type="http://schemas.openxmlformats.org/officeDocument/2006/relationships/hyperlink" Target="https://www.buzzsprout.com/1891053/episodes" TargetMode="External"/><Relationship Id="rId25" Type="http://schemas.openxmlformats.org/officeDocument/2006/relationships/hyperlink" Target="https://www.buzzsprout.com/1891053/episodes" TargetMode="External"/><Relationship Id="rId26" Type="http://schemas.openxmlformats.org/officeDocument/2006/relationships/hyperlink" Target="https://www.buzzsprout.com/1891053/episodes" TargetMode="External"/><Relationship Id="rId27" Type="http://schemas.openxmlformats.org/officeDocument/2006/relationships/hyperlink" Target="https://www.buzzsprout.com/1891053/episodes" TargetMode="External"/><Relationship Id="rId28" Type="http://schemas.openxmlformats.org/officeDocument/2006/relationships/hyperlink" Target="https://www.buzzsprout.com/1891053/episodes" TargetMode="External"/><Relationship Id="rId29" Type="http://schemas.openxmlformats.org/officeDocument/2006/relationships/hyperlink" Target="https://www.buzzsprout.com/1891053/episodes" TargetMode="External"/><Relationship Id="rId30" Type="http://schemas.openxmlformats.org/officeDocument/2006/relationships/hyperlink" Target="https://www.buzzsprout.com/1891053/episodes" TargetMode="External"/><Relationship Id="rId31" Type="http://schemas.openxmlformats.org/officeDocument/2006/relationships/hyperlink" Target="https://www.buzzsprout.com/1891053/episodes" TargetMode="External"/><Relationship Id="rId32" Type="http://schemas.openxmlformats.org/officeDocument/2006/relationships/hyperlink" Target="https://www.buzzsprout.com/1891053/episodes" TargetMode="External"/><Relationship Id="rId33" Type="http://schemas.openxmlformats.org/officeDocument/2006/relationships/hyperlink" Target="https://www.buzzsprout.com/1891053/episodes" TargetMode="External"/><Relationship Id="rId34" Type="http://schemas.openxmlformats.org/officeDocument/2006/relationships/hyperlink" Target="https://www.buzzsprout.com/1891053/episodes" TargetMode="External"/><Relationship Id="rId35" Type="http://schemas.openxmlformats.org/officeDocument/2006/relationships/hyperlink" Target="https://www.buzzsprout.com/1891053/episodes" TargetMode="External"/><Relationship Id="rId36" Type="http://schemas.openxmlformats.org/officeDocument/2006/relationships/hyperlink" Target="https://www.buzzsprout.com/1891053/episodes" TargetMode="External"/><Relationship Id="rId37" Type="http://schemas.openxmlformats.org/officeDocument/2006/relationships/hyperlink" Target="https://www.buzzsprout.com/1891053/episodes" TargetMode="External"/><Relationship Id="rId38" Type="http://schemas.openxmlformats.org/officeDocument/2006/relationships/hyperlink" Target="https://www.buzzsprout.com/1891053/episodes" TargetMode="External"/><Relationship Id="rId39" Type="http://schemas.openxmlformats.org/officeDocument/2006/relationships/hyperlink" Target="https://www.buzzsprout.com/1891053/episodes" TargetMode="External"/><Relationship Id="rId40" Type="http://schemas.openxmlformats.org/officeDocument/2006/relationships/hyperlink" Target="https://www.buzzsprout.com/1891053/episodes" TargetMode="External"/><Relationship Id="rId41" Type="http://schemas.openxmlformats.org/officeDocument/2006/relationships/hyperlink" Target="https://www.buzzsprout.com/1891053/episodes" TargetMode="External"/><Relationship Id="rId42" Type="http://schemas.openxmlformats.org/officeDocument/2006/relationships/hyperlink" Target="https://www.buzzsprout.com/1891053/episodes" TargetMode="External"/><Relationship Id="rId43" Type="http://schemas.openxmlformats.org/officeDocument/2006/relationships/hyperlink" Target="https://www.buzzsprout.com/1891053/episodes" TargetMode="External"/><Relationship Id="rId44" Type="http://schemas.openxmlformats.org/officeDocument/2006/relationships/hyperlink" Target="https://www.buzzsprout.com/1891053/episodes" TargetMode="External"/><Relationship Id="rId45" Type="http://schemas.openxmlformats.org/officeDocument/2006/relationships/hyperlink" Target="https://www.buzzsprout.com/1891053/episodes" TargetMode="External"/><Relationship Id="rId46" Type="http://schemas.openxmlformats.org/officeDocument/2006/relationships/hyperlink" Target="https://www.buzzsprout.com/1891053/episodes" TargetMode="External"/><Relationship Id="rId47" Type="http://schemas.openxmlformats.org/officeDocument/2006/relationships/hyperlink" Target="https://www.buzzsprout.com/1891053/episodes" TargetMode="External"/><Relationship Id="rId48" Type="http://schemas.openxmlformats.org/officeDocument/2006/relationships/hyperlink" Target="https://www.buzzsprout.com/1891053/episodes" TargetMode="External"/><Relationship Id="rId49" Type="http://schemas.openxmlformats.org/officeDocument/2006/relationships/hyperlink" Target="https://www.buzzsprout.com/1891053/episodes" TargetMode="External"/><Relationship Id="rId50" Type="http://schemas.openxmlformats.org/officeDocument/2006/relationships/hyperlink" Target="https://www.buzzsprout.com/1891053/episodes" TargetMode="External"/><Relationship Id="rId51" Type="http://schemas.openxmlformats.org/officeDocument/2006/relationships/hyperlink" Target="https://www.buzzsprout.com/1891053/episodes" TargetMode="External"/><Relationship Id="rId52" Type="http://schemas.openxmlformats.org/officeDocument/2006/relationships/hyperlink" Target="https://www.buzzsprout.com/1891053/episodes" TargetMode="External"/><Relationship Id="rId53" Type="http://schemas.openxmlformats.org/officeDocument/2006/relationships/hyperlink" Target="https://www.buzzsprout.com/1891053/episodes" TargetMode="External"/><Relationship Id="rId54" Type="http://schemas.openxmlformats.org/officeDocument/2006/relationships/hyperlink" Target="https://www.buzzsprout.com/1891053/episodes" TargetMode="External"/><Relationship Id="rId55" Type="http://schemas.openxmlformats.org/officeDocument/2006/relationships/hyperlink" Target="https://www.buzzsprout.com/1891053/episodes" TargetMode="External"/><Relationship Id="rId56" Type="http://schemas.openxmlformats.org/officeDocument/2006/relationships/hyperlink" Target="https://www.buzzsprout.com/1891053/episodes" TargetMode="External"/><Relationship Id="rId57" Type="http://schemas.openxmlformats.org/officeDocument/2006/relationships/hyperlink" Target="https://www.buzzsprout.com/1891053/episodes" TargetMode="External"/><Relationship Id="rId58" Type="http://schemas.openxmlformats.org/officeDocument/2006/relationships/hyperlink" Target="https://www.buzzsprout.com/1891053/episodes" TargetMode="External"/><Relationship Id="rId59" Type="http://schemas.openxmlformats.org/officeDocument/2006/relationships/hyperlink" Target="https://www.buzzsprout.com/1891053/episodes" TargetMode="External"/><Relationship Id="rId60" Type="http://schemas.openxmlformats.org/officeDocument/2006/relationships/hyperlink" Target="https://www.buzzsprout.com/1891053/episodes" TargetMode="External"/><Relationship Id="rId61" Type="http://schemas.openxmlformats.org/officeDocument/2006/relationships/hyperlink" Target="https://www.buzzsprout.com/1891053/episodes" TargetMode="External"/><Relationship Id="rId62" Type="http://schemas.openxmlformats.org/officeDocument/2006/relationships/hyperlink" Target="https://www.buzzsprout.com/1891053/episodes" TargetMode="External"/><Relationship Id="rId63" Type="http://schemas.openxmlformats.org/officeDocument/2006/relationships/hyperlink" Target="https://www.buzzsprout.com/1891053/episodes" TargetMode="External"/><Relationship Id="rId64" Type="http://schemas.openxmlformats.org/officeDocument/2006/relationships/hyperlink" Target="https://www.buzzsprout.com/1891053/episodes" TargetMode="External"/><Relationship Id="rId65" Type="http://schemas.openxmlformats.org/officeDocument/2006/relationships/hyperlink" Target="https://www.buzzsprout.com/1891053/episodes" TargetMode="External"/><Relationship Id="rId66" Type="http://schemas.openxmlformats.org/officeDocument/2006/relationships/hyperlink" Target="https://www.buzzsprout.com/1891053/episodes" TargetMode="External"/><Relationship Id="rId67" Type="http://schemas.openxmlformats.org/officeDocument/2006/relationships/hyperlink" Target="https://www.buzzsprout.com/1891053/episodes" TargetMode="External"/><Relationship Id="rId68" Type="http://schemas.openxmlformats.org/officeDocument/2006/relationships/hyperlink" Target="https://www.buzzsprout.com/1891053/episodes" TargetMode="External"/><Relationship Id="rId69" Type="http://schemas.openxmlformats.org/officeDocument/2006/relationships/hyperlink" Target="https://www.buzzsprout.com/1891053/episodes" TargetMode="External"/><Relationship Id="rId70" Type="http://schemas.openxmlformats.org/officeDocument/2006/relationships/hyperlink" Target="https://www.buzzsprout.com/1891053/episodes" TargetMode="External"/><Relationship Id="rId71" Type="http://schemas.openxmlformats.org/officeDocument/2006/relationships/hyperlink" Target="https://www.buzzsprout.com/1891053/episodes" TargetMode="External"/><Relationship Id="rId72" Type="http://schemas.openxmlformats.org/officeDocument/2006/relationships/hyperlink" Target="https://www.buzzsprout.com/1891053/episodes" TargetMode="External"/><Relationship Id="rId73" Type="http://schemas.openxmlformats.org/officeDocument/2006/relationships/hyperlink" Target="https://www.buzzsprout.com/1891053/episodes" TargetMode="External"/><Relationship Id="rId74" Type="http://schemas.openxmlformats.org/officeDocument/2006/relationships/hyperlink" Target="https://www.buzzsprout.com/1891053/episodes" TargetMode="External"/><Relationship Id="rId75" Type="http://schemas.openxmlformats.org/officeDocument/2006/relationships/hyperlink" Target="https://www.buzzsprout.com/1891053/episodes" TargetMode="External"/><Relationship Id="rId76" Type="http://schemas.openxmlformats.org/officeDocument/2006/relationships/hyperlink" Target="https://www.buzzsprout.com/1891053/episodes/13334191-inner-victory-champions" TargetMode="External"/><Relationship Id="rId77" Type="http://schemas.openxmlformats.org/officeDocument/2006/relationships/hyperlink" Target="https://www.buzzsprout.com/1891053/episodes/13373768-a-conversation-with-robin-tasco" TargetMode="External"/><Relationship Id="rId78" Type="http://schemas.openxmlformats.org/officeDocument/2006/relationships/hyperlink" Target="https://www.buzzsprout.com/1891053/episodes/13415954-is-your-career-your-passion" TargetMode="External"/><Relationship Id="rId79" Type="http://schemas.openxmlformats.org/officeDocument/2006/relationships/hyperlink" Target="https://www.buzzsprout.com/1891053/episodes/13456987-short-cuts-and-baggage" TargetMode="External"/><Relationship Id="rId80" Type="http://schemas.openxmlformats.org/officeDocument/2006/relationships/hyperlink" Target="https://www.buzzsprout.com/1891053/episodes/13495136-toxic-relationship-advice-women-s-edition" TargetMode="External"/><Relationship Id="rId81" Type="http://schemas.openxmlformats.org/officeDocument/2006/relationships/hyperlink" Target="https://www.buzzsprout.com/1891053/episodes/13537156-toxic-relationship-advice-men-s-edition" TargetMode="External"/><Relationship Id="rId82" Type="http://schemas.openxmlformats.org/officeDocument/2006/relationships/hyperlink" Target="https://www.buzzsprout.com/1891053/episodes/13581203-deep-dive-into-relationships-part-1" TargetMode="External"/><Relationship Id="rId83" Type="http://schemas.openxmlformats.org/officeDocument/2006/relationships/hyperlink" Target="https://www.buzzsprout.com/1891053/episodes/13627189-deep-dive-into-relationships-part-2" TargetMode="External"/><Relationship Id="rId84" Type="http://schemas.openxmlformats.org/officeDocument/2006/relationships/hyperlink" Target="https://www.buzzsprout.com/1891053/episodes/13671939-relationship-transitions" TargetMode="External"/><Relationship Id="rId85" Type="http://schemas.openxmlformats.org/officeDocument/2006/relationships/hyperlink" Target="https://www.buzzsprout.com/1891053/episodes/13714633-relationships-from-the-couples-perspective" TargetMode="External"/><Relationship Id="rId86" Type="http://schemas.openxmlformats.org/officeDocument/2006/relationships/hyperlink" Target="https://www.buzzsprout.com/1891053/episodes/13758254-how-your-finances-impact-your-life" TargetMode="External"/><Relationship Id="rId87" Type="http://schemas.openxmlformats.org/officeDocument/2006/relationships/hyperlink" Target="https://www.buzzsprout.com/1891053/episodes/13801515-the-six-elements-of-good-health-part-one" TargetMode="External"/><Relationship Id="rId88" Type="http://schemas.openxmlformats.org/officeDocument/2006/relationships/hyperlink" Target="https://www.buzzsprout.com/1891053/episodes/13843681-the-six-elements-of-good-health-part-two" TargetMode="External"/><Relationship Id="rId89" Type="http://schemas.openxmlformats.org/officeDocument/2006/relationships/hyperlink" Target="https://www.buzzsprout.com/1891053/episodes/13888609-thanksgiving" TargetMode="External"/><Relationship Id="rId90" Type="http://schemas.openxmlformats.org/officeDocument/2006/relationships/hyperlink" Target="https://www.buzzsprout.com/1891053/episodes/13933555-after-thanksgiving-thoughts" TargetMode="External"/><Relationship Id="rId91" Type="http://schemas.openxmlformats.org/officeDocument/2006/relationships/hyperlink" Target="https://www.buzzsprout.com/1891053/episodes/13978357-investments" TargetMode="External"/><Relationship Id="rId92" Type="http://schemas.openxmlformats.org/officeDocument/2006/relationships/hyperlink" Target="https://www.buzzsprout.com/1891053/episodes/14014601-christmas-part-1" TargetMode="External"/><Relationship Id="rId93" Type="http://schemas.openxmlformats.org/officeDocument/2006/relationships/hyperlink" Target="https://www.buzzsprout.com/1891053/episodes/14014609-after-christmas-has-past" TargetMode="External"/><Relationship Id="rId94" Type="http://schemas.openxmlformats.org/officeDocument/2006/relationships/hyperlink" Target="https://www.buzzsprout.com/1891053/episodes/14100273-coaching-part-1" TargetMode="External"/><Relationship Id="rId95" Type="http://schemas.openxmlformats.org/officeDocument/2006/relationships/hyperlink" Target="https://www.buzzsprout.com/1891053/episodes/14135763-coaching-part-2" TargetMode="External"/><Relationship Id="rId96" Type="http://schemas.openxmlformats.org/officeDocument/2006/relationships/hyperlink" Target="https://www.buzzsprout.com/1891053/episodes/14135799-finance-2023" TargetMode="External"/><Relationship Id="rId97" Type="http://schemas.openxmlformats.org/officeDocument/2006/relationships/hyperlink" Target="https://www.buzzsprout.com/1891053/episodes/14135865-year-end-wrap-up-part-one" TargetMode="External"/><Relationship Id="rId98" Type="http://schemas.openxmlformats.org/officeDocument/2006/relationships/hyperlink" Target="https://www.buzzsprout.com/1891053/episodes/14135878-year-end-wrap-part-two" TargetMode="External"/><Relationship Id="rId99" Type="http://schemas.openxmlformats.org/officeDocument/2006/relationships/hyperlink" Target="https://www.buzzsprout.com/1891053/episodes/14270934-being-a-health-advocate" TargetMode="External"/><Relationship Id="rId100" Type="http://schemas.openxmlformats.org/officeDocument/2006/relationships/hyperlink" Target="https://www.buzzsprout.com/1891053/episodes/14327001-being-a-podcast-host" TargetMode="External"/><Relationship Id="rId101" Type="http://schemas.openxmlformats.org/officeDocument/2006/relationships/drawing" Target="../drawings/drawing1.xml"/><Relationship Id="rId10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6"/>
    <col collapsed="false" customWidth="true" hidden="false" outlineLevel="0" max="3" min="3" style="1" width="2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n">
        <f aca="false">COUNTA('All 99 episodes'!A2:A100)</f>
        <v>99</v>
      </c>
    </row>
    <row r="5" customFormat="false" ht="15" hidden="false" customHeight="true" outlineLevel="0" collapsed="false">
      <c r="A5" s="4" t="s">
        <v>3</v>
      </c>
      <c r="B5" s="5" t="n">
        <f aca="false">COUNTIF('All 99 episodes'!G2:G100,"No")</f>
        <v>79</v>
      </c>
    </row>
    <row r="6" customFormat="false" ht="15" hidden="false" customHeight="true" outlineLevel="0" collapsed="false">
      <c r="A6" s="4" t="s">
        <v>4</v>
      </c>
      <c r="B6" s="5" t="n">
        <f aca="false">COUNTIF('All 99 episodes'!G2:G100,"Yes")</f>
        <v>20</v>
      </c>
    </row>
    <row r="7" customFormat="false" ht="15" hidden="false" customHeight="true" outlineLevel="0" collapsed="false">
      <c r="A7" s="5" t="s">
        <v>5</v>
      </c>
      <c r="B7" s="5" t="n">
        <f aca="false">COUNTIF('All 99 episodes'!I2:I100,"Identical*")</f>
        <v>7</v>
      </c>
    </row>
    <row r="8" customFormat="false" ht="15" hidden="false" customHeight="true" outlineLevel="0" collapsed="false">
      <c r="A8" s="5" t="s">
        <v>6</v>
      </c>
      <c r="B8" s="5" t="n">
        <f aca="false">COUNTIF('All 99 episodes'!I2:I100,"1:51*")</f>
        <v>10</v>
      </c>
    </row>
    <row r="9" customFormat="false" ht="15" hidden="false" customHeight="true" outlineLevel="0" collapsed="false">
      <c r="A9" s="5" t="s">
        <v>7</v>
      </c>
      <c r="B9" s="5" t="n">
        <f aca="false">COUNTIF('All 99 episodes'!I2:I100,"Different*")</f>
        <v>3</v>
      </c>
    </row>
    <row r="10" customFormat="false" ht="15" hidden="false" customHeight="true" outlineLevel="0" collapsed="false">
      <c r="A10" s="4" t="s">
        <v>8</v>
      </c>
      <c r="B10" s="6" t="n">
        <f aca="false">SUM('All 99 episodes'!D2:D100)</f>
        <v>3.02912037037037</v>
      </c>
    </row>
    <row r="11" customFormat="false" ht="15" hidden="false" customHeight="true" outlineLevel="0" collapsed="false">
      <c r="A11" s="4" t="s">
        <v>9</v>
      </c>
      <c r="B11" s="6" t="n">
        <f aca="false">SUMIF('All 99 episodes'!G2:G100,"No",'All 99 episodes'!D2:D100)</f>
        <v>2.39905092592593</v>
      </c>
    </row>
    <row r="12" customFormat="false" ht="15" hidden="false" customHeight="true" outlineLevel="0" collapsed="false">
      <c r="A12" s="4" t="s">
        <v>10</v>
      </c>
      <c r="B12" s="5" t="n">
        <f aca="false">COUNTIF('All 99 episodes'!L2:L100,"Yes*")</f>
        <v>8</v>
      </c>
    </row>
    <row r="13" customFormat="false" ht="15" hidden="false" customHeight="true" outlineLevel="0" collapsed="false">
      <c r="A13" s="7" t="s">
        <v>11</v>
      </c>
      <c r="B13" s="8" t="n">
        <f aca="false">B5-B12</f>
        <v>71</v>
      </c>
      <c r="C13" s="9" t="s">
        <v>12</v>
      </c>
    </row>
    <row r="14" customFormat="false" ht="15" hidden="false" customHeight="true" outlineLevel="0" collapsed="false">
      <c r="A14" s="5" t="s">
        <v>13</v>
      </c>
      <c r="B14" s="5" t="n">
        <f aca="false">COUNTIFS('All 99 episodes'!E2:E100,A14,'All 99 episodes'!G2:G100,"No")</f>
        <v>5</v>
      </c>
      <c r="C14" s="5" t="n">
        <f aca="false">COUNTIF('All 99 episodes'!E2:E100,A14)</f>
        <v>6</v>
      </c>
    </row>
    <row r="15" customFormat="false" ht="15" hidden="false" customHeight="true" outlineLevel="0" collapsed="false">
      <c r="A15" s="5" t="s">
        <v>14</v>
      </c>
      <c r="B15" s="5" t="n">
        <f aca="false">COUNTIFS('All 99 episodes'!E2:E100,A15,'All 99 episodes'!G2:G100,"No")</f>
        <v>7</v>
      </c>
      <c r="C15" s="5" t="n">
        <f aca="false">COUNTIF('All 99 episodes'!E2:E100,A15)</f>
        <v>8</v>
      </c>
    </row>
    <row r="16" customFormat="false" ht="15" hidden="false" customHeight="true" outlineLevel="0" collapsed="false">
      <c r="A16" s="5" t="s">
        <v>15</v>
      </c>
      <c r="B16" s="5" t="n">
        <f aca="false">COUNTIFS('All 99 episodes'!E2:E100,A16,'All 99 episodes'!G2:G100,"No")</f>
        <v>11</v>
      </c>
      <c r="C16" s="5" t="n">
        <f aca="false">COUNTIF('All 99 episodes'!E2:E100,A16)</f>
        <v>12</v>
      </c>
    </row>
    <row r="17" customFormat="false" ht="15" hidden="false" customHeight="true" outlineLevel="0" collapsed="false">
      <c r="A17" s="5" t="s">
        <v>16</v>
      </c>
      <c r="B17" s="5" t="n">
        <f aca="false">COUNTIFS('All 99 episodes'!E2:E100,A17,'All 99 episodes'!G2:G100,"No")</f>
        <v>20</v>
      </c>
      <c r="C17" s="5" t="n">
        <f aca="false">COUNTIF('All 99 episodes'!E2:E100,A17)</f>
        <v>24</v>
      </c>
    </row>
    <row r="18" customFormat="false" ht="15" hidden="false" customHeight="true" outlineLevel="0" collapsed="false">
      <c r="A18" s="5" t="s">
        <v>17</v>
      </c>
      <c r="B18" s="5" t="n">
        <f aca="false">COUNTIFS('All 99 episodes'!E2:E100,A18,'All 99 episodes'!G2:G100,"No")</f>
        <v>14</v>
      </c>
      <c r="C18" s="5" t="n">
        <f aca="false">COUNTIF('All 99 episodes'!E2:E100,A18)</f>
        <v>20</v>
      </c>
    </row>
    <row r="19" customFormat="false" ht="15" hidden="false" customHeight="true" outlineLevel="0" collapsed="false">
      <c r="A19" s="5" t="s">
        <v>18</v>
      </c>
      <c r="B19" s="5" t="n">
        <f aca="false">COUNTIFS('All 99 episodes'!E2:E100,A19,'All 99 episodes'!G2:G100,"No")</f>
        <v>11</v>
      </c>
      <c r="C19" s="5" t="n">
        <f aca="false">COUNTIF('All 99 episodes'!E2:E100,A19)</f>
        <v>12</v>
      </c>
    </row>
    <row r="20" customFormat="false" ht="15" hidden="false" customHeight="true" outlineLevel="0" collapsed="false">
      <c r="A20" s="5" t="s">
        <v>19</v>
      </c>
      <c r="B20" s="5" t="n">
        <f aca="false">COUNTIFS('All 99 episodes'!E2:E100,A20,'All 99 episodes'!G2:G100,"No")</f>
        <v>8</v>
      </c>
      <c r="C20" s="5" t="n">
        <f aca="false">COUNTIF('All 99 episodes'!E2:E100,A20)</f>
        <v>14</v>
      </c>
    </row>
    <row r="21" customFormat="false" ht="15" hidden="false" customHeight="true" outlineLevel="0" collapsed="false">
      <c r="A21" s="5" t="s">
        <v>20</v>
      </c>
      <c r="B21" s="5" t="n">
        <f aca="false">COUNTIFS('All 99 episodes'!E2:E100,A21,'All 99 episodes'!G2:G100,"No")</f>
        <v>3</v>
      </c>
      <c r="C21" s="5" t="n">
        <f aca="false">COUNTIF('All 99 episodes'!E2:E100,A21)</f>
        <v>3</v>
      </c>
    </row>
    <row r="22" customFormat="false" ht="15" hidden="false" customHeight="true" outlineLevel="0" collapsed="false">
      <c r="A22" s="4" t="s">
        <v>21</v>
      </c>
      <c r="B22" s="4" t="n">
        <f aca="false">SUM(B14:B21)</f>
        <v>79</v>
      </c>
      <c r="C22" s="4" t="n">
        <f aca="false">SUM(C14:C21)</f>
        <v>99</v>
      </c>
    </row>
    <row r="24" customFormat="false" ht="15" hidden="false" customHeight="true" outlineLevel="0" collapsed="false">
      <c r="A24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4"/>
    <col collapsed="false" customWidth="true" hidden="false" outlineLevel="0" max="3" min="3" style="1" width="13"/>
    <col collapsed="false" customWidth="true" hidden="false" outlineLevel="0" max="4" min="4" style="1" width="10"/>
    <col collapsed="false" customWidth="true" hidden="false" outlineLevel="0" max="5" min="5" style="1" width="22"/>
    <col collapsed="false" customWidth="true" hidden="false" outlineLevel="0" max="6" min="6" style="1" width="30"/>
    <col collapsed="false" customWidth="true" hidden="false" outlineLevel="0" max="7" min="7" style="1" width="11"/>
    <col collapsed="false" customWidth="true" hidden="false" outlineLevel="0" max="8" min="8" style="1" width="13"/>
    <col collapsed="false" customWidth="true" hidden="false" outlineLevel="0" max="10" min="9" style="1" width="30"/>
    <col collapsed="false" customWidth="true" hidden="false" outlineLevel="0" max="11" min="11" style="1" width="50"/>
    <col collapsed="false" customWidth="true" hidden="false" outlineLevel="0" max="12" min="12" style="1" width="40"/>
  </cols>
  <sheetData>
    <row r="1" customFormat="false" ht="26.25" hidden="false" customHeight="true" outlineLevel="0" collapsed="false">
      <c r="A1" s="10" t="s">
        <v>23</v>
      </c>
      <c r="B1" s="10" t="s">
        <v>24</v>
      </c>
      <c r="C1" s="10" t="s">
        <v>25</v>
      </c>
      <c r="D1" s="10" t="s">
        <v>26</v>
      </c>
      <c r="E1" s="10" t="s">
        <v>27</v>
      </c>
      <c r="F1" s="10" t="s">
        <v>28</v>
      </c>
      <c r="G1" s="10" t="s">
        <v>29</v>
      </c>
      <c r="H1" s="10" t="s">
        <v>30</v>
      </c>
      <c r="I1" s="10" t="s">
        <v>31</v>
      </c>
      <c r="J1" s="10" t="s">
        <v>32</v>
      </c>
      <c r="K1" s="10" t="s">
        <v>33</v>
      </c>
      <c r="L1" s="10" t="s">
        <v>34</v>
      </c>
    </row>
    <row r="2" customFormat="false" ht="26.25" hidden="false" customHeight="true" outlineLevel="0" collapsed="false">
      <c r="A2" s="11" t="n">
        <v>1</v>
      </c>
      <c r="B2" s="11" t="s">
        <v>13</v>
      </c>
      <c r="C2" s="12" t="n">
        <v>44566</v>
      </c>
      <c r="D2" s="13" t="n">
        <v>0.025150462962963</v>
      </c>
      <c r="E2" s="11" t="s">
        <v>13</v>
      </c>
      <c r="F2" s="11" t="s">
        <v>35</v>
      </c>
      <c r="G2" s="11" t="s">
        <v>36</v>
      </c>
      <c r="H2" s="11"/>
      <c r="I2" s="11"/>
      <c r="J2" s="11" t="s">
        <v>37</v>
      </c>
      <c r="K2" s="14" t="s">
        <v>38</v>
      </c>
      <c r="L2" s="11" t="s">
        <v>36</v>
      </c>
    </row>
    <row r="3" customFormat="false" ht="15" hidden="false" customHeight="true" outlineLevel="0" collapsed="false">
      <c r="A3" s="11" t="n">
        <v>2</v>
      </c>
      <c r="B3" s="11" t="s">
        <v>39</v>
      </c>
      <c r="C3" s="12" t="n">
        <v>44573</v>
      </c>
      <c r="D3" s="13" t="n">
        <v>0.0240393518518519</v>
      </c>
      <c r="E3" s="11" t="s">
        <v>14</v>
      </c>
      <c r="F3" s="11" t="s">
        <v>35</v>
      </c>
      <c r="G3" s="11" t="s">
        <v>36</v>
      </c>
      <c r="H3" s="11"/>
      <c r="I3" s="11"/>
      <c r="J3" s="11"/>
      <c r="K3" s="14" t="s">
        <v>38</v>
      </c>
      <c r="L3" s="15" t="s">
        <v>40</v>
      </c>
    </row>
    <row r="4" customFormat="false" ht="15" hidden="false" customHeight="true" outlineLevel="0" collapsed="false">
      <c r="A4" s="11" t="n">
        <v>3</v>
      </c>
      <c r="B4" s="11" t="s">
        <v>41</v>
      </c>
      <c r="C4" s="12" t="n">
        <v>44580</v>
      </c>
      <c r="D4" s="13" t="n">
        <v>0.0273263888888889</v>
      </c>
      <c r="E4" s="11" t="s">
        <v>15</v>
      </c>
      <c r="F4" s="11" t="s">
        <v>35</v>
      </c>
      <c r="G4" s="11" t="s">
        <v>36</v>
      </c>
      <c r="H4" s="11"/>
      <c r="I4" s="11"/>
      <c r="J4" s="11"/>
      <c r="K4" s="14" t="s">
        <v>38</v>
      </c>
      <c r="L4" s="15" t="s">
        <v>42</v>
      </c>
    </row>
    <row r="5" customFormat="false" ht="15" hidden="false" customHeight="true" outlineLevel="0" collapsed="false">
      <c r="A5" s="11" t="n">
        <v>4</v>
      </c>
      <c r="B5" s="11" t="s">
        <v>43</v>
      </c>
      <c r="C5" s="12" t="n">
        <v>44587</v>
      </c>
      <c r="D5" s="13" t="n">
        <v>0.0245486111111111</v>
      </c>
      <c r="E5" s="11" t="s">
        <v>17</v>
      </c>
      <c r="F5" s="11" t="s">
        <v>35</v>
      </c>
      <c r="G5" s="11" t="s">
        <v>36</v>
      </c>
      <c r="H5" s="11"/>
      <c r="I5" s="11"/>
      <c r="J5" s="11" t="s">
        <v>44</v>
      </c>
      <c r="K5" s="14" t="s">
        <v>38</v>
      </c>
      <c r="L5" s="11" t="s">
        <v>36</v>
      </c>
    </row>
    <row r="6" customFormat="false" ht="15" hidden="false" customHeight="true" outlineLevel="0" collapsed="false">
      <c r="A6" s="11" t="n">
        <v>5</v>
      </c>
      <c r="B6" s="11" t="s">
        <v>45</v>
      </c>
      <c r="C6" s="12" t="n">
        <v>44594</v>
      </c>
      <c r="D6" s="13" t="n">
        <v>0.0369444444444445</v>
      </c>
      <c r="E6" s="11" t="s">
        <v>14</v>
      </c>
      <c r="F6" s="11" t="s">
        <v>46</v>
      </c>
      <c r="G6" s="11" t="s">
        <v>36</v>
      </c>
      <c r="H6" s="11"/>
      <c r="I6" s="11"/>
      <c r="J6" s="11"/>
      <c r="K6" s="14" t="s">
        <v>38</v>
      </c>
      <c r="L6" s="15" t="s">
        <v>47</v>
      </c>
    </row>
    <row r="7" customFormat="false" ht="15" hidden="false" customHeight="true" outlineLevel="0" collapsed="false">
      <c r="A7" s="11" t="n">
        <v>6</v>
      </c>
      <c r="B7" s="11" t="s">
        <v>48</v>
      </c>
      <c r="C7" s="12" t="n">
        <v>44601</v>
      </c>
      <c r="D7" s="13" t="n">
        <v>0.0383217592592593</v>
      </c>
      <c r="E7" s="11" t="s">
        <v>15</v>
      </c>
      <c r="F7" s="11" t="s">
        <v>49</v>
      </c>
      <c r="G7" s="11" t="s">
        <v>36</v>
      </c>
      <c r="H7" s="11"/>
      <c r="I7" s="11"/>
      <c r="J7" s="11"/>
      <c r="K7" s="14" t="s">
        <v>38</v>
      </c>
      <c r="L7" s="11" t="s">
        <v>36</v>
      </c>
    </row>
    <row r="8" customFormat="false" ht="15" hidden="false" customHeight="true" outlineLevel="0" collapsed="false">
      <c r="A8" s="11" t="n">
        <v>7</v>
      </c>
      <c r="B8" s="11" t="s">
        <v>50</v>
      </c>
      <c r="C8" s="12" t="n">
        <v>44608</v>
      </c>
      <c r="D8" s="13" t="n">
        <v>0.0278240740740741</v>
      </c>
      <c r="E8" s="11" t="s">
        <v>16</v>
      </c>
      <c r="F8" s="11" t="s">
        <v>51</v>
      </c>
      <c r="G8" s="11" t="s">
        <v>36</v>
      </c>
      <c r="H8" s="11"/>
      <c r="I8" s="11"/>
      <c r="J8" s="11"/>
      <c r="K8" s="14" t="s">
        <v>38</v>
      </c>
      <c r="L8" s="15" t="s">
        <v>52</v>
      </c>
    </row>
    <row r="9" customFormat="false" ht="15" hidden="false" customHeight="true" outlineLevel="0" collapsed="false">
      <c r="A9" s="11" t="n">
        <v>8</v>
      </c>
      <c r="B9" s="11" t="s">
        <v>53</v>
      </c>
      <c r="C9" s="12" t="n">
        <v>44615</v>
      </c>
      <c r="D9" s="13" t="n">
        <v>0.038900462962963</v>
      </c>
      <c r="E9" s="11" t="s">
        <v>17</v>
      </c>
      <c r="F9" s="11" t="s">
        <v>54</v>
      </c>
      <c r="G9" s="11" t="s">
        <v>36</v>
      </c>
      <c r="H9" s="11"/>
      <c r="I9" s="11"/>
      <c r="J9" s="11" t="s">
        <v>55</v>
      </c>
      <c r="K9" s="14" t="s">
        <v>38</v>
      </c>
      <c r="L9" s="15" t="s">
        <v>56</v>
      </c>
    </row>
    <row r="10" customFormat="false" ht="15" hidden="false" customHeight="true" outlineLevel="0" collapsed="false">
      <c r="A10" s="11" t="n">
        <v>9</v>
      </c>
      <c r="B10" s="11" t="s">
        <v>57</v>
      </c>
      <c r="C10" s="12" t="n">
        <v>44622</v>
      </c>
      <c r="D10" s="13" t="n">
        <v>0.0258796296296296</v>
      </c>
      <c r="E10" s="11" t="s">
        <v>18</v>
      </c>
      <c r="F10" s="11" t="s">
        <v>58</v>
      </c>
      <c r="G10" s="11" t="s">
        <v>36</v>
      </c>
      <c r="H10" s="11"/>
      <c r="I10" s="11"/>
      <c r="J10" s="11" t="s">
        <v>59</v>
      </c>
      <c r="K10" s="14" t="s">
        <v>38</v>
      </c>
      <c r="L10" s="11" t="s">
        <v>36</v>
      </c>
    </row>
    <row r="11" customFormat="false" ht="15" hidden="false" customHeight="true" outlineLevel="0" collapsed="false">
      <c r="A11" s="11" t="n">
        <v>10</v>
      </c>
      <c r="B11" s="11" t="s">
        <v>60</v>
      </c>
      <c r="C11" s="12" t="n">
        <v>44629</v>
      </c>
      <c r="D11" s="13" t="n">
        <v>0.0373611111111111</v>
      </c>
      <c r="E11" s="11" t="s">
        <v>14</v>
      </c>
      <c r="F11" s="11" t="s">
        <v>61</v>
      </c>
      <c r="G11" s="11" t="s">
        <v>36</v>
      </c>
      <c r="H11" s="11"/>
      <c r="I11" s="11"/>
      <c r="J11" s="11"/>
      <c r="K11" s="14" t="s">
        <v>38</v>
      </c>
      <c r="L11" s="11" t="s">
        <v>36</v>
      </c>
    </row>
    <row r="12" customFormat="false" ht="15" hidden="false" customHeight="true" outlineLevel="0" collapsed="false">
      <c r="A12" s="11" t="n">
        <v>11</v>
      </c>
      <c r="B12" s="11" t="s">
        <v>62</v>
      </c>
      <c r="C12" s="12" t="n">
        <v>44636</v>
      </c>
      <c r="D12" s="13" t="n">
        <v>0.0290162037037037</v>
      </c>
      <c r="E12" s="11" t="s">
        <v>15</v>
      </c>
      <c r="F12" s="11" t="s">
        <v>49</v>
      </c>
      <c r="G12" s="11" t="s">
        <v>36</v>
      </c>
      <c r="H12" s="11"/>
      <c r="I12" s="11"/>
      <c r="J12" s="11"/>
      <c r="K12" s="14" t="s">
        <v>38</v>
      </c>
      <c r="L12" s="11" t="s">
        <v>36</v>
      </c>
    </row>
    <row r="13" customFormat="false" ht="15" hidden="false" customHeight="true" outlineLevel="0" collapsed="false">
      <c r="A13" s="11" t="n">
        <v>12</v>
      </c>
      <c r="B13" s="11" t="s">
        <v>63</v>
      </c>
      <c r="C13" s="12" t="n">
        <v>44643</v>
      </c>
      <c r="D13" s="13" t="n">
        <v>0.029537037037037</v>
      </c>
      <c r="E13" s="11" t="s">
        <v>16</v>
      </c>
      <c r="F13" s="11" t="s">
        <v>51</v>
      </c>
      <c r="G13" s="11" t="s">
        <v>36</v>
      </c>
      <c r="H13" s="11"/>
      <c r="I13" s="11"/>
      <c r="J13" s="11" t="s">
        <v>64</v>
      </c>
      <c r="K13" s="14" t="s">
        <v>38</v>
      </c>
      <c r="L13" s="15" t="s">
        <v>65</v>
      </c>
    </row>
    <row r="14" customFormat="false" ht="15" hidden="false" customHeight="true" outlineLevel="0" collapsed="false">
      <c r="A14" s="11" t="n">
        <v>13</v>
      </c>
      <c r="B14" s="11" t="s">
        <v>66</v>
      </c>
      <c r="C14" s="12" t="n">
        <v>44650</v>
      </c>
      <c r="D14" s="13" t="n">
        <v>0.0375578703703704</v>
      </c>
      <c r="E14" s="11" t="s">
        <v>17</v>
      </c>
      <c r="F14" s="11" t="s">
        <v>54</v>
      </c>
      <c r="G14" s="11" t="s">
        <v>36</v>
      </c>
      <c r="H14" s="11"/>
      <c r="I14" s="11"/>
      <c r="J14" s="11" t="s">
        <v>67</v>
      </c>
      <c r="K14" s="14" t="s">
        <v>38</v>
      </c>
      <c r="L14" s="11" t="s">
        <v>36</v>
      </c>
    </row>
    <row r="15" customFormat="false" ht="15" hidden="false" customHeight="true" outlineLevel="0" collapsed="false">
      <c r="A15" s="11" t="n">
        <v>14</v>
      </c>
      <c r="B15" s="11" t="s">
        <v>68</v>
      </c>
      <c r="C15" s="12" t="n">
        <v>44664</v>
      </c>
      <c r="D15" s="13" t="n">
        <v>0.0306018518518519</v>
      </c>
      <c r="E15" s="11" t="s">
        <v>18</v>
      </c>
      <c r="F15" s="11" t="s">
        <v>58</v>
      </c>
      <c r="G15" s="11" t="s">
        <v>36</v>
      </c>
      <c r="H15" s="11"/>
      <c r="I15" s="11"/>
      <c r="J15" s="11"/>
      <c r="K15" s="14" t="s">
        <v>38</v>
      </c>
      <c r="L15" s="11" t="s">
        <v>36</v>
      </c>
    </row>
    <row r="16" customFormat="false" ht="15" hidden="false" customHeight="true" outlineLevel="0" collapsed="false">
      <c r="A16" s="11" t="n">
        <v>15</v>
      </c>
      <c r="B16" s="11" t="s">
        <v>69</v>
      </c>
      <c r="C16" s="12" t="n">
        <v>44671</v>
      </c>
      <c r="D16" s="13" t="n">
        <v>0.0232291666666667</v>
      </c>
      <c r="E16" s="11" t="s">
        <v>14</v>
      </c>
      <c r="F16" s="11" t="s">
        <v>35</v>
      </c>
      <c r="G16" s="11" t="s">
        <v>36</v>
      </c>
      <c r="H16" s="11"/>
      <c r="I16" s="11"/>
      <c r="J16" s="11"/>
      <c r="K16" s="14" t="s">
        <v>38</v>
      </c>
      <c r="L16" s="11" t="s">
        <v>36</v>
      </c>
    </row>
    <row r="17" customFormat="false" ht="15" hidden="false" customHeight="true" outlineLevel="0" collapsed="false">
      <c r="A17" s="11" t="n">
        <v>16</v>
      </c>
      <c r="B17" s="11" t="s">
        <v>70</v>
      </c>
      <c r="C17" s="12" t="n">
        <v>44678</v>
      </c>
      <c r="D17" s="13" t="n">
        <v>0.0265740740740741</v>
      </c>
      <c r="E17" s="11" t="s">
        <v>15</v>
      </c>
      <c r="F17" s="11" t="s">
        <v>49</v>
      </c>
      <c r="G17" s="11" t="s">
        <v>36</v>
      </c>
      <c r="H17" s="11"/>
      <c r="I17" s="11"/>
      <c r="J17" s="11"/>
      <c r="K17" s="14" t="s">
        <v>38</v>
      </c>
      <c r="L17" s="11" t="s">
        <v>36</v>
      </c>
    </row>
    <row r="18" customFormat="false" ht="26.25" hidden="false" customHeight="true" outlineLevel="0" collapsed="false">
      <c r="A18" s="11" t="n">
        <v>17</v>
      </c>
      <c r="B18" s="11" t="s">
        <v>71</v>
      </c>
      <c r="C18" s="12" t="n">
        <v>44699</v>
      </c>
      <c r="D18" s="13" t="n">
        <v>0.0328935185185185</v>
      </c>
      <c r="E18" s="11" t="s">
        <v>16</v>
      </c>
      <c r="F18" s="11" t="s">
        <v>72</v>
      </c>
      <c r="G18" s="11" t="s">
        <v>36</v>
      </c>
      <c r="H18" s="11"/>
      <c r="I18" s="11"/>
      <c r="J18" s="11" t="s">
        <v>73</v>
      </c>
      <c r="K18" s="14" t="s">
        <v>38</v>
      </c>
      <c r="L18" s="11" t="s">
        <v>36</v>
      </c>
    </row>
    <row r="19" customFormat="false" ht="15" hidden="false" customHeight="true" outlineLevel="0" collapsed="false">
      <c r="A19" s="11" t="n">
        <v>18</v>
      </c>
      <c r="B19" s="11" t="s">
        <v>74</v>
      </c>
      <c r="C19" s="12" t="n">
        <v>44713</v>
      </c>
      <c r="D19" s="13" t="n">
        <v>0.0234490740740741</v>
      </c>
      <c r="E19" s="11" t="s">
        <v>18</v>
      </c>
      <c r="F19" s="11" t="s">
        <v>75</v>
      </c>
      <c r="G19" s="11" t="s">
        <v>36</v>
      </c>
      <c r="H19" s="11"/>
      <c r="I19" s="11"/>
      <c r="J19" s="11"/>
      <c r="K19" s="14" t="s">
        <v>38</v>
      </c>
      <c r="L19" s="11" t="s">
        <v>36</v>
      </c>
    </row>
    <row r="20" customFormat="false" ht="15" hidden="false" customHeight="true" outlineLevel="0" collapsed="false">
      <c r="A20" s="11" t="n">
        <v>19</v>
      </c>
      <c r="B20" s="11" t="s">
        <v>76</v>
      </c>
      <c r="C20" s="12" t="n">
        <v>44720</v>
      </c>
      <c r="D20" s="13" t="n">
        <v>0.0290856481481482</v>
      </c>
      <c r="E20" s="11" t="s">
        <v>17</v>
      </c>
      <c r="F20" s="11" t="s">
        <v>77</v>
      </c>
      <c r="G20" s="11" t="s">
        <v>36</v>
      </c>
      <c r="H20" s="11"/>
      <c r="I20" s="11"/>
      <c r="J20" s="11"/>
      <c r="K20" s="14" t="s">
        <v>38</v>
      </c>
      <c r="L20" s="11" t="s">
        <v>36</v>
      </c>
    </row>
    <row r="21" customFormat="false" ht="15" hidden="false" customHeight="true" outlineLevel="0" collapsed="false">
      <c r="A21" s="11" t="n">
        <v>20</v>
      </c>
      <c r="B21" s="11" t="s">
        <v>78</v>
      </c>
      <c r="C21" s="12" t="n">
        <v>44727</v>
      </c>
      <c r="D21" s="13" t="n">
        <v>0.0391666666666667</v>
      </c>
      <c r="E21" s="11" t="s">
        <v>14</v>
      </c>
      <c r="F21" s="11" t="s">
        <v>61</v>
      </c>
      <c r="G21" s="11" t="s">
        <v>36</v>
      </c>
      <c r="H21" s="11"/>
      <c r="I21" s="11"/>
      <c r="J21" s="11"/>
      <c r="K21" s="14" t="s">
        <v>38</v>
      </c>
      <c r="L21" s="11" t="s">
        <v>36</v>
      </c>
    </row>
    <row r="22" customFormat="false" ht="26.25" hidden="false" customHeight="true" outlineLevel="0" collapsed="false">
      <c r="A22" s="11" t="n">
        <v>21</v>
      </c>
      <c r="B22" s="11" t="s">
        <v>79</v>
      </c>
      <c r="C22" s="12" t="n">
        <v>44762</v>
      </c>
      <c r="D22" s="13" t="n">
        <v>0.0261689814814815</v>
      </c>
      <c r="E22" s="11" t="s">
        <v>16</v>
      </c>
      <c r="F22" s="11" t="s">
        <v>51</v>
      </c>
      <c r="G22" s="11" t="s">
        <v>36</v>
      </c>
      <c r="H22" s="11"/>
      <c r="I22" s="11"/>
      <c r="J22" s="11"/>
      <c r="K22" s="14" t="s">
        <v>38</v>
      </c>
      <c r="L22" s="11" t="s">
        <v>36</v>
      </c>
    </row>
    <row r="23" customFormat="false" ht="15" hidden="false" customHeight="true" outlineLevel="0" collapsed="false">
      <c r="A23" s="11" t="n">
        <v>22</v>
      </c>
      <c r="B23" s="11" t="s">
        <v>80</v>
      </c>
      <c r="C23" s="12" t="n">
        <v>44769</v>
      </c>
      <c r="D23" s="13" t="n">
        <v>0.0332407407407407</v>
      </c>
      <c r="E23" s="11" t="s">
        <v>18</v>
      </c>
      <c r="F23" s="11" t="s">
        <v>58</v>
      </c>
      <c r="G23" s="11" t="s">
        <v>36</v>
      </c>
      <c r="H23" s="11"/>
      <c r="I23" s="11"/>
      <c r="J23" s="11"/>
      <c r="K23" s="14" t="s">
        <v>38</v>
      </c>
      <c r="L23" s="11" t="s">
        <v>36</v>
      </c>
    </row>
    <row r="24" customFormat="false" ht="15" hidden="false" customHeight="true" outlineLevel="0" collapsed="false">
      <c r="A24" s="11" t="n">
        <v>23</v>
      </c>
      <c r="B24" s="11" t="s">
        <v>81</v>
      </c>
      <c r="C24" s="12" t="n">
        <v>44776</v>
      </c>
      <c r="D24" s="13" t="n">
        <v>0.0332291666666667</v>
      </c>
      <c r="E24" s="11" t="s">
        <v>16</v>
      </c>
      <c r="F24" s="11" t="s">
        <v>51</v>
      </c>
      <c r="G24" s="11" t="s">
        <v>36</v>
      </c>
      <c r="H24" s="11"/>
      <c r="I24" s="11"/>
      <c r="J24" s="11"/>
      <c r="K24" s="14" t="s">
        <v>38</v>
      </c>
      <c r="L24" s="11" t="s">
        <v>36</v>
      </c>
    </row>
    <row r="25" customFormat="false" ht="15" hidden="false" customHeight="true" outlineLevel="0" collapsed="false">
      <c r="A25" s="11" t="n">
        <v>24</v>
      </c>
      <c r="B25" s="11" t="s">
        <v>82</v>
      </c>
      <c r="C25" s="12" t="n">
        <v>44783</v>
      </c>
      <c r="D25" s="13" t="n">
        <v>0.0285648148148148</v>
      </c>
      <c r="E25" s="11" t="s">
        <v>18</v>
      </c>
      <c r="F25" s="11" t="s">
        <v>58</v>
      </c>
      <c r="G25" s="11" t="s">
        <v>36</v>
      </c>
      <c r="H25" s="11"/>
      <c r="I25" s="11"/>
      <c r="J25" s="11"/>
      <c r="K25" s="14" t="s">
        <v>38</v>
      </c>
      <c r="L25" s="11" t="s">
        <v>36</v>
      </c>
    </row>
    <row r="26" customFormat="false" ht="26.25" hidden="false" customHeight="true" outlineLevel="0" collapsed="false">
      <c r="A26" s="11" t="n">
        <v>25</v>
      </c>
      <c r="B26" s="11" t="s">
        <v>83</v>
      </c>
      <c r="C26" s="12" t="n">
        <v>44790</v>
      </c>
      <c r="D26" s="13" t="n">
        <v>0.0346527777777778</v>
      </c>
      <c r="E26" s="11" t="s">
        <v>16</v>
      </c>
      <c r="F26" s="11" t="s">
        <v>84</v>
      </c>
      <c r="G26" s="11" t="s">
        <v>36</v>
      </c>
      <c r="H26" s="11"/>
      <c r="I26" s="11"/>
      <c r="J26" s="11"/>
      <c r="K26" s="14" t="s">
        <v>38</v>
      </c>
      <c r="L26" s="11" t="s">
        <v>36</v>
      </c>
    </row>
    <row r="27" customFormat="false" ht="15" hidden="false" customHeight="true" outlineLevel="0" collapsed="false">
      <c r="A27" s="11" t="n">
        <v>26</v>
      </c>
      <c r="B27" s="11" t="s">
        <v>85</v>
      </c>
      <c r="C27" s="12" t="n">
        <v>44797</v>
      </c>
      <c r="D27" s="13" t="n">
        <v>0.0402546296296296</v>
      </c>
      <c r="E27" s="11" t="s">
        <v>16</v>
      </c>
      <c r="F27" s="11" t="s">
        <v>86</v>
      </c>
      <c r="G27" s="11" t="s">
        <v>36</v>
      </c>
      <c r="H27" s="11"/>
      <c r="I27" s="11"/>
      <c r="J27" s="11"/>
      <c r="K27" s="14" t="s">
        <v>38</v>
      </c>
      <c r="L27" s="11" t="s">
        <v>36</v>
      </c>
    </row>
    <row r="28" customFormat="false" ht="15" hidden="false" customHeight="true" outlineLevel="0" collapsed="false">
      <c r="A28" s="11" t="n">
        <v>27</v>
      </c>
      <c r="B28" s="11" t="s">
        <v>87</v>
      </c>
      <c r="C28" s="12" t="n">
        <v>44804</v>
      </c>
      <c r="D28" s="13" t="n">
        <v>0.0368634259259259</v>
      </c>
      <c r="E28" s="11" t="s">
        <v>14</v>
      </c>
      <c r="F28" s="11" t="s">
        <v>88</v>
      </c>
      <c r="G28" s="11" t="s">
        <v>36</v>
      </c>
      <c r="H28" s="11"/>
      <c r="I28" s="11"/>
      <c r="J28" s="11" t="s">
        <v>89</v>
      </c>
      <c r="K28" s="14" t="s">
        <v>38</v>
      </c>
      <c r="L28" s="11" t="s">
        <v>36</v>
      </c>
    </row>
    <row r="29" customFormat="false" ht="15" hidden="false" customHeight="true" outlineLevel="0" collapsed="false">
      <c r="A29" s="11" t="n">
        <v>28</v>
      </c>
      <c r="B29" s="11" t="s">
        <v>90</v>
      </c>
      <c r="C29" s="12" t="n">
        <v>44811</v>
      </c>
      <c r="D29" s="13" t="n">
        <v>0.0299768518518519</v>
      </c>
      <c r="E29" s="11" t="s">
        <v>16</v>
      </c>
      <c r="F29" s="11" t="s">
        <v>51</v>
      </c>
      <c r="G29" s="11" t="s">
        <v>36</v>
      </c>
      <c r="H29" s="11"/>
      <c r="I29" s="11"/>
      <c r="J29" s="11"/>
      <c r="K29" s="14" t="s">
        <v>38</v>
      </c>
      <c r="L29" s="11" t="s">
        <v>36</v>
      </c>
    </row>
    <row r="30" customFormat="false" ht="15" hidden="false" customHeight="true" outlineLevel="0" collapsed="false">
      <c r="A30" s="11" t="n">
        <v>29</v>
      </c>
      <c r="B30" s="11" t="s">
        <v>91</v>
      </c>
      <c r="C30" s="12" t="n">
        <v>44818</v>
      </c>
      <c r="D30" s="13" t="n">
        <v>0.0296643518518519</v>
      </c>
      <c r="E30" s="11" t="s">
        <v>15</v>
      </c>
      <c r="F30" s="11" t="s">
        <v>49</v>
      </c>
      <c r="G30" s="11" t="s">
        <v>36</v>
      </c>
      <c r="H30" s="11"/>
      <c r="I30" s="11"/>
      <c r="J30" s="11"/>
      <c r="K30" s="14" t="s">
        <v>38</v>
      </c>
      <c r="L30" s="11" t="s">
        <v>36</v>
      </c>
    </row>
    <row r="31" customFormat="false" ht="26.25" hidden="false" customHeight="true" outlineLevel="0" collapsed="false">
      <c r="A31" s="11" t="n">
        <v>30</v>
      </c>
      <c r="B31" s="11" t="s">
        <v>92</v>
      </c>
      <c r="C31" s="12" t="n">
        <v>44825</v>
      </c>
      <c r="D31" s="13" t="n">
        <v>0.0426851851851852</v>
      </c>
      <c r="E31" s="11" t="s">
        <v>18</v>
      </c>
      <c r="F31" s="11" t="s">
        <v>93</v>
      </c>
      <c r="G31" s="11" t="s">
        <v>36</v>
      </c>
      <c r="H31" s="11"/>
      <c r="I31" s="11"/>
      <c r="J31" s="11"/>
      <c r="K31" s="14" t="s">
        <v>38</v>
      </c>
      <c r="L31" s="11" t="s">
        <v>36</v>
      </c>
    </row>
    <row r="32" customFormat="false" ht="15" hidden="false" customHeight="true" outlineLevel="0" collapsed="false">
      <c r="A32" s="11" t="n">
        <v>31</v>
      </c>
      <c r="B32" s="11" t="s">
        <v>94</v>
      </c>
      <c r="C32" s="12" t="n">
        <v>44832</v>
      </c>
      <c r="D32" s="13" t="n">
        <v>0.0290162037037037</v>
      </c>
      <c r="E32" s="11" t="s">
        <v>16</v>
      </c>
      <c r="F32" s="11" t="s">
        <v>49</v>
      </c>
      <c r="G32" s="11" t="s">
        <v>36</v>
      </c>
      <c r="H32" s="11"/>
      <c r="I32" s="11"/>
      <c r="J32" s="11"/>
      <c r="K32" s="14" t="s">
        <v>38</v>
      </c>
      <c r="L32" s="11" t="s">
        <v>36</v>
      </c>
    </row>
    <row r="33" customFormat="false" ht="26.25" hidden="false" customHeight="true" outlineLevel="0" collapsed="false">
      <c r="A33" s="11" t="n">
        <v>32</v>
      </c>
      <c r="B33" s="11" t="s">
        <v>95</v>
      </c>
      <c r="C33" s="12" t="n">
        <v>44839</v>
      </c>
      <c r="D33" s="13" t="n">
        <v>0.0304398148148148</v>
      </c>
      <c r="E33" s="11" t="s">
        <v>16</v>
      </c>
      <c r="F33" s="11" t="s">
        <v>51</v>
      </c>
      <c r="G33" s="11" t="s">
        <v>36</v>
      </c>
      <c r="H33" s="11"/>
      <c r="I33" s="11"/>
      <c r="J33" s="11"/>
      <c r="K33" s="14" t="s">
        <v>38</v>
      </c>
      <c r="L33" s="11" t="s">
        <v>36</v>
      </c>
    </row>
    <row r="34" customFormat="false" ht="26.25" hidden="false" customHeight="true" outlineLevel="0" collapsed="false">
      <c r="A34" s="11" t="n">
        <v>33</v>
      </c>
      <c r="B34" s="11" t="s">
        <v>96</v>
      </c>
      <c r="C34" s="12" t="n">
        <v>44846</v>
      </c>
      <c r="D34" s="13" t="n">
        <v>0.0378240740740741</v>
      </c>
      <c r="E34" s="11" t="s">
        <v>17</v>
      </c>
      <c r="F34" s="11" t="s">
        <v>93</v>
      </c>
      <c r="G34" s="11" t="s">
        <v>36</v>
      </c>
      <c r="H34" s="11"/>
      <c r="I34" s="11"/>
      <c r="J34" s="11"/>
      <c r="K34" s="14" t="s">
        <v>38</v>
      </c>
      <c r="L34" s="11" t="s">
        <v>36</v>
      </c>
    </row>
    <row r="35" customFormat="false" ht="15" hidden="false" customHeight="true" outlineLevel="0" collapsed="false">
      <c r="A35" s="11" t="n">
        <v>34</v>
      </c>
      <c r="B35" s="11" t="s">
        <v>97</v>
      </c>
      <c r="C35" s="12" t="n">
        <v>44853</v>
      </c>
      <c r="D35" s="13" t="n">
        <v>0.0310763888888889</v>
      </c>
      <c r="E35" s="11" t="s">
        <v>17</v>
      </c>
      <c r="F35" s="11" t="s">
        <v>98</v>
      </c>
      <c r="G35" s="11" t="s">
        <v>36</v>
      </c>
      <c r="H35" s="11"/>
      <c r="I35" s="11"/>
      <c r="J35" s="11"/>
      <c r="K35" s="14" t="s">
        <v>38</v>
      </c>
      <c r="L35" s="11" t="s">
        <v>36</v>
      </c>
    </row>
    <row r="36" customFormat="false" ht="15" hidden="false" customHeight="true" outlineLevel="0" collapsed="false">
      <c r="A36" s="11" t="n">
        <v>35</v>
      </c>
      <c r="B36" s="11" t="s">
        <v>99</v>
      </c>
      <c r="C36" s="12" t="n">
        <v>44860</v>
      </c>
      <c r="D36" s="13" t="n">
        <v>0.023599537037037</v>
      </c>
      <c r="E36" s="11" t="s">
        <v>16</v>
      </c>
      <c r="F36" s="11" t="s">
        <v>51</v>
      </c>
      <c r="G36" s="11" t="s">
        <v>36</v>
      </c>
      <c r="H36" s="11"/>
      <c r="I36" s="11"/>
      <c r="J36" s="11"/>
      <c r="K36" s="14" t="s">
        <v>38</v>
      </c>
      <c r="L36" s="11" t="s">
        <v>36</v>
      </c>
    </row>
    <row r="37" customFormat="false" ht="15" hidden="false" customHeight="true" outlineLevel="0" collapsed="false">
      <c r="A37" s="11" t="n">
        <v>36</v>
      </c>
      <c r="B37" s="11" t="s">
        <v>100</v>
      </c>
      <c r="C37" s="12" t="n">
        <v>44867</v>
      </c>
      <c r="D37" s="13" t="n">
        <v>0.0278009259259259</v>
      </c>
      <c r="E37" s="11" t="s">
        <v>13</v>
      </c>
      <c r="F37" s="11" t="s">
        <v>98</v>
      </c>
      <c r="G37" s="11" t="s">
        <v>36</v>
      </c>
      <c r="H37" s="11"/>
      <c r="I37" s="11"/>
      <c r="J37" s="11"/>
      <c r="K37" s="14" t="s">
        <v>38</v>
      </c>
      <c r="L37" s="11" t="s">
        <v>36</v>
      </c>
    </row>
    <row r="38" customFormat="false" ht="15" hidden="false" customHeight="true" outlineLevel="0" collapsed="false">
      <c r="A38" s="11" t="n">
        <v>37</v>
      </c>
      <c r="B38" s="11" t="s">
        <v>101</v>
      </c>
      <c r="C38" s="12" t="n">
        <v>44874</v>
      </c>
      <c r="D38" s="13" t="n">
        <v>0.0325115740740741</v>
      </c>
      <c r="E38" s="11" t="s">
        <v>17</v>
      </c>
      <c r="F38" s="11" t="s">
        <v>58</v>
      </c>
      <c r="G38" s="11" t="s">
        <v>36</v>
      </c>
      <c r="H38" s="11"/>
      <c r="I38" s="11"/>
      <c r="J38" s="11"/>
      <c r="K38" s="14" t="s">
        <v>38</v>
      </c>
      <c r="L38" s="11" t="s">
        <v>36</v>
      </c>
    </row>
    <row r="39" customFormat="false" ht="15" hidden="false" customHeight="true" outlineLevel="0" collapsed="false">
      <c r="A39" s="11" t="n">
        <v>38</v>
      </c>
      <c r="B39" s="11" t="s">
        <v>102</v>
      </c>
      <c r="C39" s="12" t="n">
        <v>44881</v>
      </c>
      <c r="D39" s="13" t="n">
        <v>0.0265625</v>
      </c>
      <c r="E39" s="11" t="s">
        <v>18</v>
      </c>
      <c r="F39" s="11" t="s">
        <v>58</v>
      </c>
      <c r="G39" s="11" t="s">
        <v>36</v>
      </c>
      <c r="H39" s="11"/>
      <c r="I39" s="11"/>
      <c r="J39" s="11"/>
      <c r="K39" s="14" t="s">
        <v>38</v>
      </c>
      <c r="L39" s="11" t="s">
        <v>36</v>
      </c>
    </row>
    <row r="40" customFormat="false" ht="15" hidden="false" customHeight="true" outlineLevel="0" collapsed="false">
      <c r="A40" s="11" t="n">
        <v>39</v>
      </c>
      <c r="B40" s="11" t="s">
        <v>103</v>
      </c>
      <c r="C40" s="12" t="n">
        <v>44888</v>
      </c>
      <c r="D40" s="13" t="n">
        <v>0.0352083333333333</v>
      </c>
      <c r="E40" s="11" t="s">
        <v>19</v>
      </c>
      <c r="F40" s="11" t="s">
        <v>35</v>
      </c>
      <c r="G40" s="11" t="s">
        <v>36</v>
      </c>
      <c r="H40" s="11"/>
      <c r="I40" s="11"/>
      <c r="J40" s="11" t="s">
        <v>104</v>
      </c>
      <c r="K40" s="14" t="s">
        <v>38</v>
      </c>
      <c r="L40" s="11" t="s">
        <v>36</v>
      </c>
    </row>
    <row r="41" customFormat="false" ht="15" hidden="false" customHeight="true" outlineLevel="0" collapsed="false">
      <c r="A41" s="11" t="n">
        <v>40</v>
      </c>
      <c r="B41" s="11" t="s">
        <v>105</v>
      </c>
      <c r="C41" s="12" t="n">
        <v>44895</v>
      </c>
      <c r="D41" s="13" t="n">
        <v>0.0327083333333333</v>
      </c>
      <c r="E41" s="11" t="s">
        <v>19</v>
      </c>
      <c r="F41" s="11" t="s">
        <v>35</v>
      </c>
      <c r="G41" s="11" t="s">
        <v>36</v>
      </c>
      <c r="H41" s="11"/>
      <c r="I41" s="11"/>
      <c r="J41" s="11" t="s">
        <v>106</v>
      </c>
      <c r="K41" s="14" t="s">
        <v>38</v>
      </c>
      <c r="L41" s="11" t="s">
        <v>36</v>
      </c>
    </row>
    <row r="42" customFormat="false" ht="15" hidden="false" customHeight="true" outlineLevel="0" collapsed="false">
      <c r="A42" s="11" t="n">
        <v>41</v>
      </c>
      <c r="B42" s="11" t="s">
        <v>107</v>
      </c>
      <c r="C42" s="12" t="n">
        <v>44902</v>
      </c>
      <c r="D42" s="13" t="n">
        <v>0.0297685185185185</v>
      </c>
      <c r="E42" s="11" t="s">
        <v>17</v>
      </c>
      <c r="F42" s="11" t="s">
        <v>108</v>
      </c>
      <c r="G42" s="11" t="s">
        <v>36</v>
      </c>
      <c r="H42" s="11"/>
      <c r="I42" s="11"/>
      <c r="J42" s="11" t="s">
        <v>109</v>
      </c>
      <c r="K42" s="14" t="s">
        <v>38</v>
      </c>
      <c r="L42" s="11" t="s">
        <v>36</v>
      </c>
    </row>
    <row r="43" customFormat="false" ht="15" hidden="false" customHeight="true" outlineLevel="0" collapsed="false">
      <c r="A43" s="11" t="n">
        <v>42</v>
      </c>
      <c r="B43" s="11" t="s">
        <v>110</v>
      </c>
      <c r="C43" s="12" t="n">
        <v>44909</v>
      </c>
      <c r="D43" s="13" t="n">
        <v>0.0231018518518519</v>
      </c>
      <c r="E43" s="11" t="s">
        <v>19</v>
      </c>
      <c r="F43" s="11" t="s">
        <v>35</v>
      </c>
      <c r="G43" s="11" t="s">
        <v>36</v>
      </c>
      <c r="H43" s="11"/>
      <c r="I43" s="11"/>
      <c r="J43" s="11" t="s">
        <v>111</v>
      </c>
      <c r="K43" s="14" t="s">
        <v>38</v>
      </c>
      <c r="L43" s="11" t="s">
        <v>36</v>
      </c>
    </row>
    <row r="44" customFormat="false" ht="15" hidden="false" customHeight="true" outlineLevel="0" collapsed="false">
      <c r="A44" s="11" t="n">
        <v>43</v>
      </c>
      <c r="B44" s="11" t="s">
        <v>112</v>
      </c>
      <c r="C44" s="12" t="n">
        <v>44916</v>
      </c>
      <c r="D44" s="13" t="n">
        <v>0.0327546296296296</v>
      </c>
      <c r="E44" s="11" t="s">
        <v>19</v>
      </c>
      <c r="F44" s="11" t="s">
        <v>35</v>
      </c>
      <c r="G44" s="11" t="s">
        <v>36</v>
      </c>
      <c r="H44" s="11"/>
      <c r="I44" s="11"/>
      <c r="J44" s="11" t="s">
        <v>113</v>
      </c>
      <c r="K44" s="14" t="s">
        <v>38</v>
      </c>
      <c r="L44" s="11" t="s">
        <v>36</v>
      </c>
    </row>
    <row r="45" customFormat="false" ht="26.25" hidden="false" customHeight="true" outlineLevel="0" collapsed="false">
      <c r="A45" s="11" t="n">
        <v>44</v>
      </c>
      <c r="B45" s="11" t="s">
        <v>114</v>
      </c>
      <c r="C45" s="12" t="n">
        <v>44923</v>
      </c>
      <c r="D45" s="13" t="n">
        <v>0.0255787037037037</v>
      </c>
      <c r="E45" s="11" t="s">
        <v>19</v>
      </c>
      <c r="F45" s="11" t="s">
        <v>35</v>
      </c>
      <c r="G45" s="11" t="s">
        <v>36</v>
      </c>
      <c r="H45" s="11"/>
      <c r="I45" s="11"/>
      <c r="J45" s="11" t="s">
        <v>115</v>
      </c>
      <c r="K45" s="14" t="s">
        <v>38</v>
      </c>
      <c r="L45" s="11" t="s">
        <v>36</v>
      </c>
    </row>
    <row r="46" customFormat="false" ht="15" hidden="false" customHeight="true" outlineLevel="0" collapsed="false">
      <c r="A46" s="11" t="n">
        <v>45</v>
      </c>
      <c r="B46" s="11" t="s">
        <v>116</v>
      </c>
      <c r="C46" s="12" t="n">
        <v>44930</v>
      </c>
      <c r="D46" s="13" t="n">
        <v>0.0281365740740741</v>
      </c>
      <c r="E46" s="11" t="s">
        <v>19</v>
      </c>
      <c r="F46" s="11" t="s">
        <v>35</v>
      </c>
      <c r="G46" s="11" t="s">
        <v>36</v>
      </c>
      <c r="H46" s="11"/>
      <c r="I46" s="11"/>
      <c r="J46" s="11" t="s">
        <v>117</v>
      </c>
      <c r="K46" s="14" t="s">
        <v>38</v>
      </c>
      <c r="L46" s="11" t="s">
        <v>36</v>
      </c>
    </row>
    <row r="47" customFormat="false" ht="26.25" hidden="false" customHeight="true" outlineLevel="0" collapsed="false">
      <c r="A47" s="11" t="n">
        <v>46</v>
      </c>
      <c r="B47" s="11" t="s">
        <v>118</v>
      </c>
      <c r="C47" s="12" t="n">
        <v>44937</v>
      </c>
      <c r="D47" s="13" t="n">
        <v>0.032025462962963</v>
      </c>
      <c r="E47" s="11" t="s">
        <v>15</v>
      </c>
      <c r="F47" s="11" t="s">
        <v>108</v>
      </c>
      <c r="G47" s="11" t="s">
        <v>36</v>
      </c>
      <c r="H47" s="11"/>
      <c r="I47" s="11"/>
      <c r="J47" s="11" t="s">
        <v>119</v>
      </c>
      <c r="K47" s="14" t="s">
        <v>38</v>
      </c>
      <c r="L47" s="11" t="s">
        <v>36</v>
      </c>
    </row>
    <row r="48" customFormat="false" ht="15" hidden="false" customHeight="true" outlineLevel="0" collapsed="false">
      <c r="A48" s="11" t="n">
        <v>47</v>
      </c>
      <c r="B48" s="11" t="s">
        <v>120</v>
      </c>
      <c r="C48" s="12" t="n">
        <v>44944</v>
      </c>
      <c r="D48" s="13" t="n">
        <v>0.0234375</v>
      </c>
      <c r="E48" s="11" t="s">
        <v>13</v>
      </c>
      <c r="F48" s="11" t="s">
        <v>35</v>
      </c>
      <c r="G48" s="11" t="s">
        <v>36</v>
      </c>
      <c r="H48" s="11"/>
      <c r="I48" s="11"/>
      <c r="J48" s="11"/>
      <c r="K48" s="14" t="s">
        <v>38</v>
      </c>
      <c r="L48" s="11" t="s">
        <v>36</v>
      </c>
    </row>
    <row r="49" customFormat="false" ht="26.25" hidden="false" customHeight="true" outlineLevel="0" collapsed="false">
      <c r="A49" s="11" t="n">
        <v>48</v>
      </c>
      <c r="B49" s="11" t="s">
        <v>121</v>
      </c>
      <c r="C49" s="12" t="n">
        <v>44951</v>
      </c>
      <c r="D49" s="13" t="n">
        <v>0.0189814814814815</v>
      </c>
      <c r="E49" s="11" t="s">
        <v>20</v>
      </c>
      <c r="F49" s="11" t="s">
        <v>122</v>
      </c>
      <c r="G49" s="11" t="s">
        <v>36</v>
      </c>
      <c r="H49" s="11"/>
      <c r="I49" s="11"/>
      <c r="J49" s="11"/>
      <c r="K49" s="14" t="s">
        <v>38</v>
      </c>
      <c r="L49" s="11" t="s">
        <v>36</v>
      </c>
    </row>
    <row r="50" customFormat="false" ht="15" hidden="false" customHeight="true" outlineLevel="0" collapsed="false">
      <c r="A50" s="11" t="n">
        <v>49</v>
      </c>
      <c r="B50" s="11" t="s">
        <v>14</v>
      </c>
      <c r="C50" s="12" t="n">
        <v>44958</v>
      </c>
      <c r="D50" s="13" t="n">
        <v>0.025787037037037</v>
      </c>
      <c r="E50" s="11" t="s">
        <v>14</v>
      </c>
      <c r="F50" s="11" t="s">
        <v>35</v>
      </c>
      <c r="G50" s="11" t="s">
        <v>36</v>
      </c>
      <c r="H50" s="11"/>
      <c r="I50" s="11"/>
      <c r="J50" s="11"/>
      <c r="K50" s="14" t="s">
        <v>38</v>
      </c>
      <c r="L50" s="11" t="s">
        <v>36</v>
      </c>
    </row>
    <row r="51" customFormat="false" ht="15" hidden="false" customHeight="true" outlineLevel="0" collapsed="false">
      <c r="A51" s="11" t="n">
        <v>50</v>
      </c>
      <c r="B51" s="11" t="s">
        <v>123</v>
      </c>
      <c r="C51" s="12" t="n">
        <v>44965</v>
      </c>
      <c r="D51" s="13" t="n">
        <v>0.0221064814814815</v>
      </c>
      <c r="E51" s="11" t="s">
        <v>15</v>
      </c>
      <c r="F51" s="11" t="s">
        <v>35</v>
      </c>
      <c r="G51" s="11" t="s">
        <v>36</v>
      </c>
      <c r="H51" s="11"/>
      <c r="I51" s="11"/>
      <c r="J51" s="11"/>
      <c r="K51" s="14" t="s">
        <v>38</v>
      </c>
      <c r="L51" s="11" t="s">
        <v>36</v>
      </c>
    </row>
    <row r="52" customFormat="false" ht="15" hidden="false" customHeight="true" outlineLevel="0" collapsed="false">
      <c r="A52" s="11" t="n">
        <v>51</v>
      </c>
      <c r="B52" s="11" t="s">
        <v>124</v>
      </c>
      <c r="C52" s="12" t="n">
        <v>44972</v>
      </c>
      <c r="D52" s="13" t="n">
        <v>0.02375</v>
      </c>
      <c r="E52" s="11" t="s">
        <v>16</v>
      </c>
      <c r="F52" s="11" t="s">
        <v>35</v>
      </c>
      <c r="G52" s="11" t="s">
        <v>36</v>
      </c>
      <c r="H52" s="11"/>
      <c r="I52" s="11"/>
      <c r="J52" s="11"/>
      <c r="K52" s="14" t="s">
        <v>38</v>
      </c>
      <c r="L52" s="11" t="s">
        <v>36</v>
      </c>
    </row>
    <row r="53" customFormat="false" ht="15" hidden="false" customHeight="true" outlineLevel="0" collapsed="false">
      <c r="A53" s="11" t="n">
        <v>52</v>
      </c>
      <c r="B53" s="11" t="s">
        <v>125</v>
      </c>
      <c r="C53" s="12" t="n">
        <v>44979</v>
      </c>
      <c r="D53" s="13" t="n">
        <v>0.0260532407407407</v>
      </c>
      <c r="E53" s="11" t="s">
        <v>17</v>
      </c>
      <c r="F53" s="11" t="s">
        <v>35</v>
      </c>
      <c r="G53" s="11" t="s">
        <v>36</v>
      </c>
      <c r="H53" s="11"/>
      <c r="I53" s="11"/>
      <c r="J53" s="11"/>
      <c r="K53" s="14" t="s">
        <v>38</v>
      </c>
      <c r="L53" s="11" t="s">
        <v>36</v>
      </c>
    </row>
    <row r="54" customFormat="false" ht="15" hidden="false" customHeight="true" outlineLevel="0" collapsed="false">
      <c r="A54" s="11" t="n">
        <v>53</v>
      </c>
      <c r="B54" s="11" t="s">
        <v>126</v>
      </c>
      <c r="C54" s="12" t="n">
        <v>44986</v>
      </c>
      <c r="D54" s="13" t="n">
        <v>0.030162037037037</v>
      </c>
      <c r="E54" s="11" t="s">
        <v>18</v>
      </c>
      <c r="F54" s="11" t="s">
        <v>35</v>
      </c>
      <c r="G54" s="11" t="s">
        <v>36</v>
      </c>
      <c r="H54" s="11"/>
      <c r="I54" s="11"/>
      <c r="J54" s="11"/>
      <c r="K54" s="14" t="s">
        <v>38</v>
      </c>
      <c r="L54" s="11" t="s">
        <v>36</v>
      </c>
    </row>
    <row r="55" customFormat="false" ht="26.25" hidden="false" customHeight="true" outlineLevel="0" collapsed="false">
      <c r="A55" s="11" t="n">
        <v>54</v>
      </c>
      <c r="B55" s="11" t="s">
        <v>127</v>
      </c>
      <c r="C55" s="12" t="n">
        <v>44993</v>
      </c>
      <c r="D55" s="13" t="n">
        <v>0.0218518518518519</v>
      </c>
      <c r="E55" s="11" t="s">
        <v>20</v>
      </c>
      <c r="F55" s="11" t="s">
        <v>122</v>
      </c>
      <c r="G55" s="11" t="s">
        <v>36</v>
      </c>
      <c r="H55" s="11"/>
      <c r="I55" s="11"/>
      <c r="J55" s="11"/>
      <c r="K55" s="14" t="s">
        <v>38</v>
      </c>
      <c r="L55" s="11" t="s">
        <v>36</v>
      </c>
    </row>
    <row r="56" customFormat="false" ht="26.25" hidden="false" customHeight="true" outlineLevel="0" collapsed="false">
      <c r="A56" s="11" t="n">
        <v>55</v>
      </c>
      <c r="B56" s="11" t="s">
        <v>128</v>
      </c>
      <c r="C56" s="12" t="n">
        <v>45000</v>
      </c>
      <c r="D56" s="13" t="n">
        <v>0.0216435185185185</v>
      </c>
      <c r="E56" s="11" t="s">
        <v>20</v>
      </c>
      <c r="F56" s="11" t="s">
        <v>122</v>
      </c>
      <c r="G56" s="11" t="s">
        <v>36</v>
      </c>
      <c r="H56" s="11"/>
      <c r="I56" s="11"/>
      <c r="J56" s="11"/>
      <c r="K56" s="14" t="s">
        <v>38</v>
      </c>
      <c r="L56" s="11" t="s">
        <v>36</v>
      </c>
    </row>
    <row r="57" customFormat="false" ht="15" hidden="false" customHeight="true" outlineLevel="0" collapsed="false">
      <c r="A57" s="11" t="n">
        <v>56</v>
      </c>
      <c r="B57" s="11" t="s">
        <v>129</v>
      </c>
      <c r="C57" s="12" t="n">
        <v>45007</v>
      </c>
      <c r="D57" s="13" t="n">
        <v>0.0227199074074074</v>
      </c>
      <c r="E57" s="11" t="s">
        <v>17</v>
      </c>
      <c r="F57" s="11" t="s">
        <v>58</v>
      </c>
      <c r="G57" s="11" t="s">
        <v>36</v>
      </c>
      <c r="H57" s="11"/>
      <c r="I57" s="11"/>
      <c r="J57" s="11" t="s">
        <v>130</v>
      </c>
      <c r="K57" s="14" t="s">
        <v>38</v>
      </c>
      <c r="L57" s="11" t="s">
        <v>36</v>
      </c>
    </row>
    <row r="58" customFormat="false" ht="15" hidden="false" customHeight="true" outlineLevel="0" collapsed="false">
      <c r="A58" s="11" t="n">
        <v>57</v>
      </c>
      <c r="B58" s="11" t="s">
        <v>131</v>
      </c>
      <c r="C58" s="12" t="n">
        <v>45014</v>
      </c>
      <c r="D58" s="13" t="n">
        <v>0.0210185185185185</v>
      </c>
      <c r="E58" s="11" t="s">
        <v>17</v>
      </c>
      <c r="F58" s="11" t="s">
        <v>58</v>
      </c>
      <c r="G58" s="11" t="s">
        <v>36</v>
      </c>
      <c r="H58" s="11"/>
      <c r="I58" s="11"/>
      <c r="J58" s="11" t="s">
        <v>132</v>
      </c>
      <c r="K58" s="14" t="s">
        <v>38</v>
      </c>
      <c r="L58" s="11" t="s">
        <v>36</v>
      </c>
    </row>
    <row r="59" customFormat="false" ht="26.25" hidden="false" customHeight="true" outlineLevel="0" collapsed="false">
      <c r="A59" s="11" t="n">
        <v>58</v>
      </c>
      <c r="B59" s="11" t="s">
        <v>133</v>
      </c>
      <c r="C59" s="12" t="n">
        <v>45021</v>
      </c>
      <c r="D59" s="13" t="n">
        <v>0.0356481481481482</v>
      </c>
      <c r="E59" s="11" t="s">
        <v>17</v>
      </c>
      <c r="F59" s="11" t="s">
        <v>134</v>
      </c>
      <c r="G59" s="11" t="s">
        <v>36</v>
      </c>
      <c r="H59" s="11"/>
      <c r="I59" s="11"/>
      <c r="J59" s="11"/>
      <c r="K59" s="14" t="s">
        <v>38</v>
      </c>
      <c r="L59" s="11" t="s">
        <v>36</v>
      </c>
    </row>
    <row r="60" customFormat="false" ht="15" hidden="false" customHeight="true" outlineLevel="0" collapsed="false">
      <c r="A60" s="16" t="n">
        <v>59</v>
      </c>
      <c r="B60" s="16" t="s">
        <v>53</v>
      </c>
      <c r="C60" s="17" t="n">
        <v>45028</v>
      </c>
      <c r="D60" s="18" t="n">
        <v>0.038900462962963</v>
      </c>
      <c r="E60" s="16" t="s">
        <v>17</v>
      </c>
      <c r="F60" s="16" t="s">
        <v>54</v>
      </c>
      <c r="G60" s="16" t="s">
        <v>135</v>
      </c>
      <c r="H60" s="16" t="n">
        <v>8</v>
      </c>
      <c r="I60" s="16" t="s">
        <v>136</v>
      </c>
      <c r="J60" s="16"/>
      <c r="K60" s="19" t="s">
        <v>38</v>
      </c>
      <c r="L60" s="16" t="s">
        <v>36</v>
      </c>
    </row>
    <row r="61" customFormat="false" ht="15" hidden="false" customHeight="true" outlineLevel="0" collapsed="false">
      <c r="A61" s="11" t="n">
        <v>60</v>
      </c>
      <c r="B61" s="11" t="s">
        <v>137</v>
      </c>
      <c r="C61" s="12" t="n">
        <v>45035</v>
      </c>
      <c r="D61" s="13" t="n">
        <v>0.0395833333333333</v>
      </c>
      <c r="E61" s="11" t="s">
        <v>16</v>
      </c>
      <c r="F61" s="11" t="s">
        <v>35</v>
      </c>
      <c r="G61" s="11" t="s">
        <v>36</v>
      </c>
      <c r="H61" s="11"/>
      <c r="I61" s="11"/>
      <c r="J61" s="11" t="s">
        <v>138</v>
      </c>
      <c r="K61" s="14" t="s">
        <v>38</v>
      </c>
      <c r="L61" s="11" t="s">
        <v>36</v>
      </c>
    </row>
    <row r="62" customFormat="false" ht="15" hidden="false" customHeight="true" outlineLevel="0" collapsed="false">
      <c r="A62" s="11" t="n">
        <v>61</v>
      </c>
      <c r="B62" s="11" t="s">
        <v>139</v>
      </c>
      <c r="C62" s="12" t="n">
        <v>45042</v>
      </c>
      <c r="D62" s="13" t="n">
        <v>0.0352314814814815</v>
      </c>
      <c r="E62" s="11" t="s">
        <v>16</v>
      </c>
      <c r="F62" s="11" t="s">
        <v>35</v>
      </c>
      <c r="G62" s="11" t="s">
        <v>36</v>
      </c>
      <c r="H62" s="11"/>
      <c r="I62" s="11"/>
      <c r="J62" s="11" t="s">
        <v>140</v>
      </c>
      <c r="K62" s="14" t="s">
        <v>38</v>
      </c>
      <c r="L62" s="11" t="s">
        <v>36</v>
      </c>
    </row>
    <row r="63" customFormat="false" ht="15" hidden="false" customHeight="true" outlineLevel="0" collapsed="false">
      <c r="A63" s="11" t="n">
        <v>62</v>
      </c>
      <c r="B63" s="11" t="s">
        <v>141</v>
      </c>
      <c r="C63" s="12" t="n">
        <v>45049</v>
      </c>
      <c r="D63" s="13" t="n">
        <v>0.0410648148148148</v>
      </c>
      <c r="E63" s="11" t="s">
        <v>15</v>
      </c>
      <c r="F63" s="11" t="s">
        <v>142</v>
      </c>
      <c r="G63" s="11" t="s">
        <v>36</v>
      </c>
      <c r="H63" s="11"/>
      <c r="I63" s="11"/>
      <c r="J63" s="11"/>
      <c r="K63" s="14" t="s">
        <v>38</v>
      </c>
      <c r="L63" s="11" t="s">
        <v>36</v>
      </c>
    </row>
    <row r="64" customFormat="false" ht="26.25" hidden="false" customHeight="true" outlineLevel="0" collapsed="false">
      <c r="A64" s="16" t="n">
        <v>63</v>
      </c>
      <c r="B64" s="16" t="s">
        <v>63</v>
      </c>
      <c r="C64" s="17" t="n">
        <v>45056</v>
      </c>
      <c r="D64" s="18" t="n">
        <v>0.029537037037037</v>
      </c>
      <c r="E64" s="16" t="s">
        <v>16</v>
      </c>
      <c r="F64" s="16" t="s">
        <v>51</v>
      </c>
      <c r="G64" s="16" t="s">
        <v>135</v>
      </c>
      <c r="H64" s="16" t="n">
        <v>12</v>
      </c>
      <c r="I64" s="16" t="s">
        <v>136</v>
      </c>
      <c r="J64" s="16"/>
      <c r="K64" s="19" t="s">
        <v>38</v>
      </c>
      <c r="L64" s="16" t="s">
        <v>36</v>
      </c>
    </row>
    <row r="65" customFormat="false" ht="26.25" hidden="false" customHeight="true" outlineLevel="0" collapsed="false">
      <c r="A65" s="16" t="n">
        <v>64</v>
      </c>
      <c r="B65" s="16" t="s">
        <v>66</v>
      </c>
      <c r="C65" s="17" t="n">
        <v>45063</v>
      </c>
      <c r="D65" s="18" t="n">
        <v>0.0375578703703704</v>
      </c>
      <c r="E65" s="16" t="s">
        <v>17</v>
      </c>
      <c r="F65" s="16" t="s">
        <v>54</v>
      </c>
      <c r="G65" s="16" t="s">
        <v>135</v>
      </c>
      <c r="H65" s="16" t="n">
        <v>13</v>
      </c>
      <c r="I65" s="16" t="s">
        <v>136</v>
      </c>
      <c r="J65" s="16"/>
      <c r="K65" s="19" t="s">
        <v>38</v>
      </c>
      <c r="L65" s="16" t="s">
        <v>36</v>
      </c>
    </row>
    <row r="66" customFormat="false" ht="26.25" hidden="false" customHeight="true" outlineLevel="0" collapsed="false">
      <c r="A66" s="16" t="n">
        <v>65</v>
      </c>
      <c r="B66" s="16" t="s">
        <v>13</v>
      </c>
      <c r="C66" s="17" t="n">
        <v>45070</v>
      </c>
      <c r="D66" s="18" t="n">
        <v>0.0257175925925926</v>
      </c>
      <c r="E66" s="16" t="s">
        <v>13</v>
      </c>
      <c r="F66" s="16" t="s">
        <v>35</v>
      </c>
      <c r="G66" s="16" t="s">
        <v>135</v>
      </c>
      <c r="H66" s="16" t="n">
        <v>1</v>
      </c>
      <c r="I66" s="16" t="s">
        <v>143</v>
      </c>
      <c r="J66" s="16"/>
      <c r="K66" s="19" t="s">
        <v>38</v>
      </c>
      <c r="L66" s="16" t="s">
        <v>144</v>
      </c>
    </row>
    <row r="67" customFormat="false" ht="26.25" hidden="false" customHeight="true" outlineLevel="0" collapsed="false">
      <c r="A67" s="11" t="n">
        <v>66</v>
      </c>
      <c r="B67" s="11" t="s">
        <v>145</v>
      </c>
      <c r="C67" s="12" t="n">
        <v>45077</v>
      </c>
      <c r="D67" s="13" t="n">
        <v>0.0211805555555556</v>
      </c>
      <c r="E67" s="11" t="s">
        <v>19</v>
      </c>
      <c r="F67" s="11" t="s">
        <v>146</v>
      </c>
      <c r="G67" s="11" t="s">
        <v>36</v>
      </c>
      <c r="H67" s="11"/>
      <c r="I67" s="11"/>
      <c r="J67" s="11"/>
      <c r="K67" s="14" t="s">
        <v>38</v>
      </c>
      <c r="L67" s="11" t="s">
        <v>36</v>
      </c>
    </row>
    <row r="68" customFormat="false" ht="15" hidden="false" customHeight="true" outlineLevel="0" collapsed="false">
      <c r="A68" s="11" t="n">
        <v>67</v>
      </c>
      <c r="B68" s="11" t="s">
        <v>147</v>
      </c>
      <c r="C68" s="12" t="n">
        <v>45084</v>
      </c>
      <c r="D68" s="13" t="n">
        <v>0.0253472222222222</v>
      </c>
      <c r="E68" s="11" t="s">
        <v>19</v>
      </c>
      <c r="F68" s="11" t="s">
        <v>146</v>
      </c>
      <c r="G68" s="11" t="s">
        <v>36</v>
      </c>
      <c r="H68" s="11"/>
      <c r="I68" s="11"/>
      <c r="J68" s="11"/>
      <c r="K68" s="14" t="s">
        <v>38</v>
      </c>
      <c r="L68" s="11" t="s">
        <v>36</v>
      </c>
    </row>
    <row r="69" customFormat="false" ht="26.25" hidden="false" customHeight="true" outlineLevel="0" collapsed="false">
      <c r="A69" s="16" t="n">
        <v>68</v>
      </c>
      <c r="B69" s="16" t="s">
        <v>71</v>
      </c>
      <c r="C69" s="17" t="n">
        <v>45091</v>
      </c>
      <c r="D69" s="18" t="n">
        <v>0.0328935185185185</v>
      </c>
      <c r="E69" s="16" t="s">
        <v>16</v>
      </c>
      <c r="F69" s="16" t="s">
        <v>72</v>
      </c>
      <c r="G69" s="16" t="s">
        <v>135</v>
      </c>
      <c r="H69" s="16" t="n">
        <v>17</v>
      </c>
      <c r="I69" s="16" t="s">
        <v>136</v>
      </c>
      <c r="J69" s="16"/>
      <c r="K69" s="19" t="s">
        <v>38</v>
      </c>
      <c r="L69" s="16" t="s">
        <v>36</v>
      </c>
    </row>
    <row r="70" customFormat="false" ht="15" hidden="false" customHeight="true" outlineLevel="0" collapsed="false">
      <c r="A70" s="11" t="n">
        <v>69</v>
      </c>
      <c r="B70" s="11" t="s">
        <v>148</v>
      </c>
      <c r="C70" s="12" t="n">
        <v>45098</v>
      </c>
      <c r="D70" s="13" t="n">
        <v>0.0253356481481482</v>
      </c>
      <c r="E70" s="11" t="s">
        <v>15</v>
      </c>
      <c r="F70" s="11" t="s">
        <v>35</v>
      </c>
      <c r="G70" s="11" t="s">
        <v>36</v>
      </c>
      <c r="H70" s="11"/>
      <c r="I70" s="11"/>
      <c r="J70" s="11"/>
      <c r="K70" s="14" t="s">
        <v>38</v>
      </c>
      <c r="L70" s="11" t="s">
        <v>36</v>
      </c>
    </row>
    <row r="71" customFormat="false" ht="15" hidden="false" customHeight="true" outlineLevel="0" collapsed="false">
      <c r="A71" s="11" t="n">
        <v>70</v>
      </c>
      <c r="B71" s="11" t="s">
        <v>149</v>
      </c>
      <c r="C71" s="12" t="n">
        <v>45105</v>
      </c>
      <c r="D71" s="13" t="n">
        <v>0.0307523148148148</v>
      </c>
      <c r="E71" s="11" t="s">
        <v>16</v>
      </c>
      <c r="F71" s="11" t="s">
        <v>35</v>
      </c>
      <c r="G71" s="11" t="s">
        <v>36</v>
      </c>
      <c r="H71" s="11"/>
      <c r="I71" s="11"/>
      <c r="J71" s="11"/>
      <c r="K71" s="14" t="s">
        <v>38</v>
      </c>
      <c r="L71" s="11" t="s">
        <v>36</v>
      </c>
    </row>
    <row r="72" customFormat="false" ht="15" hidden="false" customHeight="true" outlineLevel="0" collapsed="false">
      <c r="A72" s="16" t="n">
        <v>71</v>
      </c>
      <c r="B72" s="16" t="s">
        <v>87</v>
      </c>
      <c r="C72" s="17" t="n">
        <v>45112</v>
      </c>
      <c r="D72" s="18" t="n">
        <v>0.0368634259259259</v>
      </c>
      <c r="E72" s="16" t="s">
        <v>14</v>
      </c>
      <c r="F72" s="16" t="s">
        <v>88</v>
      </c>
      <c r="G72" s="16" t="s">
        <v>135</v>
      </c>
      <c r="H72" s="16" t="n">
        <v>27</v>
      </c>
      <c r="I72" s="16" t="s">
        <v>136</v>
      </c>
      <c r="J72" s="16"/>
      <c r="K72" s="19" t="s">
        <v>38</v>
      </c>
      <c r="L72" s="16" t="s">
        <v>36</v>
      </c>
    </row>
    <row r="73" customFormat="false" ht="15" hidden="false" customHeight="true" outlineLevel="0" collapsed="false">
      <c r="A73" s="11" t="n">
        <v>72</v>
      </c>
      <c r="B73" s="11" t="s">
        <v>150</v>
      </c>
      <c r="C73" s="12" t="n">
        <v>45119</v>
      </c>
      <c r="D73" s="13" t="n">
        <v>0.0247222222222222</v>
      </c>
      <c r="E73" s="11" t="s">
        <v>13</v>
      </c>
      <c r="F73" s="11" t="s">
        <v>35</v>
      </c>
      <c r="G73" s="11" t="s">
        <v>36</v>
      </c>
      <c r="H73" s="11"/>
      <c r="I73" s="11"/>
      <c r="J73" s="11"/>
      <c r="K73" s="14" t="s">
        <v>38</v>
      </c>
      <c r="L73" s="11" t="s">
        <v>36</v>
      </c>
    </row>
    <row r="74" customFormat="false" ht="15" hidden="false" customHeight="true" outlineLevel="0" collapsed="false">
      <c r="A74" s="11" t="n">
        <v>73</v>
      </c>
      <c r="B74" s="11" t="s">
        <v>151</v>
      </c>
      <c r="C74" s="12" t="n">
        <v>45126</v>
      </c>
      <c r="D74" s="13" t="n">
        <v>0.0262847222222222</v>
      </c>
      <c r="E74" s="11" t="s">
        <v>13</v>
      </c>
      <c r="F74" s="11" t="s">
        <v>35</v>
      </c>
      <c r="G74" s="11" t="s">
        <v>36</v>
      </c>
      <c r="H74" s="11"/>
      <c r="I74" s="11"/>
      <c r="J74" s="11"/>
      <c r="K74" s="14" t="s">
        <v>38</v>
      </c>
      <c r="L74" s="11" t="s">
        <v>36</v>
      </c>
    </row>
    <row r="75" customFormat="false" ht="26.25" hidden="false" customHeight="true" outlineLevel="0" collapsed="false">
      <c r="A75" s="11" t="n">
        <v>74</v>
      </c>
      <c r="B75" s="11" t="s">
        <v>152</v>
      </c>
      <c r="C75" s="12" t="n">
        <v>45133</v>
      </c>
      <c r="D75" s="13" t="n">
        <v>0.0309722222222222</v>
      </c>
      <c r="E75" s="11" t="s">
        <v>18</v>
      </c>
      <c r="F75" s="11" t="s">
        <v>35</v>
      </c>
      <c r="G75" s="11" t="s">
        <v>36</v>
      </c>
      <c r="H75" s="11"/>
      <c r="I75" s="11"/>
      <c r="J75" s="11" t="s">
        <v>153</v>
      </c>
      <c r="K75" s="14" t="s">
        <v>38</v>
      </c>
      <c r="L75" s="11" t="s">
        <v>36</v>
      </c>
    </row>
    <row r="76" customFormat="false" ht="15" hidden="false" customHeight="true" outlineLevel="0" collapsed="false">
      <c r="A76" s="11" t="n">
        <v>75</v>
      </c>
      <c r="B76" s="11" t="s">
        <v>154</v>
      </c>
      <c r="C76" s="12" t="n">
        <v>45140</v>
      </c>
      <c r="D76" s="13" t="n">
        <v>0.0372453703703704</v>
      </c>
      <c r="E76" s="11" t="s">
        <v>17</v>
      </c>
      <c r="F76" s="11" t="s">
        <v>155</v>
      </c>
      <c r="G76" s="11" t="s">
        <v>36</v>
      </c>
      <c r="H76" s="11"/>
      <c r="I76" s="11"/>
      <c r="J76" s="11"/>
      <c r="K76" s="14" t="s">
        <v>156</v>
      </c>
      <c r="L76" s="11" t="s">
        <v>36</v>
      </c>
    </row>
    <row r="77" customFormat="false" ht="15" hidden="false" customHeight="true" outlineLevel="0" collapsed="false">
      <c r="A77" s="11" t="n">
        <v>76</v>
      </c>
      <c r="B77" s="11" t="s">
        <v>157</v>
      </c>
      <c r="C77" s="12" t="n">
        <v>45147</v>
      </c>
      <c r="D77" s="13" t="n">
        <v>0.0329398148148148</v>
      </c>
      <c r="E77" s="11" t="s">
        <v>17</v>
      </c>
      <c r="F77" s="11" t="s">
        <v>158</v>
      </c>
      <c r="G77" s="11" t="s">
        <v>36</v>
      </c>
      <c r="H77" s="11"/>
      <c r="I77" s="11"/>
      <c r="J77" s="11"/>
      <c r="K77" s="14" t="s">
        <v>159</v>
      </c>
      <c r="L77" s="11" t="s">
        <v>36</v>
      </c>
    </row>
    <row r="78" customFormat="false" ht="15" hidden="false" customHeight="true" outlineLevel="0" collapsed="false">
      <c r="A78" s="16" t="n">
        <v>77</v>
      </c>
      <c r="B78" s="16" t="s">
        <v>43</v>
      </c>
      <c r="C78" s="17" t="n">
        <v>45154</v>
      </c>
      <c r="D78" s="18" t="n">
        <v>0.0264583333333333</v>
      </c>
      <c r="E78" s="16" t="s">
        <v>17</v>
      </c>
      <c r="F78" s="16" t="s">
        <v>35</v>
      </c>
      <c r="G78" s="16" t="s">
        <v>135</v>
      </c>
      <c r="H78" s="16" t="n">
        <v>4</v>
      </c>
      <c r="I78" s="16" t="s">
        <v>143</v>
      </c>
      <c r="J78" s="16"/>
      <c r="K78" s="19" t="s">
        <v>160</v>
      </c>
      <c r="L78" s="16" t="s">
        <v>161</v>
      </c>
    </row>
    <row r="79" customFormat="false" ht="15" hidden="false" customHeight="true" outlineLevel="0" collapsed="false">
      <c r="A79" s="11" t="n">
        <v>78</v>
      </c>
      <c r="B79" s="11" t="s">
        <v>162</v>
      </c>
      <c r="C79" s="12" t="n">
        <v>45161</v>
      </c>
      <c r="D79" s="13" t="n">
        <v>0.026099537037037</v>
      </c>
      <c r="E79" s="11" t="s">
        <v>16</v>
      </c>
      <c r="F79" s="11" t="s">
        <v>35</v>
      </c>
      <c r="G79" s="11" t="s">
        <v>36</v>
      </c>
      <c r="H79" s="11"/>
      <c r="I79" s="11"/>
      <c r="J79" s="11"/>
      <c r="K79" s="14" t="s">
        <v>163</v>
      </c>
      <c r="L79" s="11" t="s">
        <v>36</v>
      </c>
    </row>
    <row r="80" customFormat="false" ht="15" hidden="false" customHeight="true" outlineLevel="0" collapsed="false">
      <c r="A80" s="11" t="n">
        <v>79</v>
      </c>
      <c r="B80" s="11" t="s">
        <v>164</v>
      </c>
      <c r="C80" s="12" t="n">
        <v>45168</v>
      </c>
      <c r="D80" s="13" t="n">
        <v>0.0358217592592593</v>
      </c>
      <c r="E80" s="11" t="s">
        <v>16</v>
      </c>
      <c r="F80" s="11" t="s">
        <v>35</v>
      </c>
      <c r="G80" s="11" t="s">
        <v>36</v>
      </c>
      <c r="H80" s="11"/>
      <c r="I80" s="11"/>
      <c r="J80" s="11"/>
      <c r="K80" s="14" t="s">
        <v>165</v>
      </c>
      <c r="L80" s="11" t="s">
        <v>36</v>
      </c>
    </row>
    <row r="81" customFormat="false" ht="15" hidden="false" customHeight="true" outlineLevel="0" collapsed="false">
      <c r="A81" s="11" t="n">
        <v>80</v>
      </c>
      <c r="B81" s="11" t="s">
        <v>166</v>
      </c>
      <c r="C81" s="12" t="n">
        <v>45175</v>
      </c>
      <c r="D81" s="13" t="n">
        <v>0.0334606481481482</v>
      </c>
      <c r="E81" s="11" t="s">
        <v>16</v>
      </c>
      <c r="F81" s="11" t="s">
        <v>35</v>
      </c>
      <c r="G81" s="11" t="s">
        <v>36</v>
      </c>
      <c r="H81" s="11"/>
      <c r="I81" s="11"/>
      <c r="J81" s="11"/>
      <c r="K81" s="14" t="s">
        <v>167</v>
      </c>
      <c r="L81" s="11" t="s">
        <v>36</v>
      </c>
    </row>
    <row r="82" customFormat="false" ht="15" hidden="false" customHeight="true" outlineLevel="0" collapsed="false">
      <c r="A82" s="16" t="n">
        <v>81</v>
      </c>
      <c r="B82" s="16" t="s">
        <v>137</v>
      </c>
      <c r="C82" s="17" t="n">
        <v>45182</v>
      </c>
      <c r="D82" s="18" t="n">
        <v>0.0395833333333333</v>
      </c>
      <c r="E82" s="16" t="s">
        <v>16</v>
      </c>
      <c r="F82" s="16" t="s">
        <v>35</v>
      </c>
      <c r="G82" s="16" t="s">
        <v>135</v>
      </c>
      <c r="H82" s="16" t="n">
        <v>60</v>
      </c>
      <c r="I82" s="16" t="s">
        <v>136</v>
      </c>
      <c r="J82" s="16"/>
      <c r="K82" s="19" t="s">
        <v>168</v>
      </c>
      <c r="L82" s="16" t="s">
        <v>36</v>
      </c>
    </row>
    <row r="83" customFormat="false" ht="15" hidden="false" customHeight="true" outlineLevel="0" collapsed="false">
      <c r="A83" s="16" t="n">
        <v>82</v>
      </c>
      <c r="B83" s="16" t="s">
        <v>139</v>
      </c>
      <c r="C83" s="17" t="n">
        <v>45189</v>
      </c>
      <c r="D83" s="18" t="n">
        <v>0.0352314814814815</v>
      </c>
      <c r="E83" s="16" t="s">
        <v>16</v>
      </c>
      <c r="F83" s="16" t="s">
        <v>35</v>
      </c>
      <c r="G83" s="16" t="s">
        <v>135</v>
      </c>
      <c r="H83" s="16" t="n">
        <v>61</v>
      </c>
      <c r="I83" s="16" t="s">
        <v>136</v>
      </c>
      <c r="J83" s="16"/>
      <c r="K83" s="19" t="s">
        <v>169</v>
      </c>
      <c r="L83" s="16" t="s">
        <v>36</v>
      </c>
    </row>
    <row r="84" customFormat="false" ht="26.25" hidden="false" customHeight="true" outlineLevel="0" collapsed="false">
      <c r="A84" s="11" t="n">
        <v>83</v>
      </c>
      <c r="B84" s="11" t="s">
        <v>170</v>
      </c>
      <c r="C84" s="12" t="n">
        <v>45196</v>
      </c>
      <c r="D84" s="13" t="n">
        <v>0.0357986111111111</v>
      </c>
      <c r="E84" s="11" t="s">
        <v>16</v>
      </c>
      <c r="F84" s="11" t="s">
        <v>171</v>
      </c>
      <c r="G84" s="11" t="s">
        <v>36</v>
      </c>
      <c r="H84" s="11"/>
      <c r="I84" s="11"/>
      <c r="J84" s="11"/>
      <c r="K84" s="14" t="s">
        <v>172</v>
      </c>
      <c r="L84" s="11" t="s">
        <v>36</v>
      </c>
    </row>
    <row r="85" customFormat="false" ht="15" hidden="false" customHeight="true" outlineLevel="0" collapsed="false">
      <c r="A85" s="11" t="n">
        <v>84</v>
      </c>
      <c r="B85" s="11" t="s">
        <v>173</v>
      </c>
      <c r="C85" s="12" t="n">
        <v>45203</v>
      </c>
      <c r="D85" s="13" t="n">
        <v>0.0452777777777778</v>
      </c>
      <c r="E85" s="11" t="s">
        <v>16</v>
      </c>
      <c r="F85" s="11" t="s">
        <v>174</v>
      </c>
      <c r="G85" s="11" t="s">
        <v>36</v>
      </c>
      <c r="H85" s="11"/>
      <c r="I85" s="11"/>
      <c r="J85" s="11"/>
      <c r="K85" s="14" t="s">
        <v>175</v>
      </c>
      <c r="L85" s="11" t="s">
        <v>36</v>
      </c>
    </row>
    <row r="86" customFormat="false" ht="15" hidden="false" customHeight="true" outlineLevel="0" collapsed="false">
      <c r="A86" s="11" t="n">
        <v>85</v>
      </c>
      <c r="B86" s="11" t="s">
        <v>176</v>
      </c>
      <c r="C86" s="12" t="n">
        <v>45210</v>
      </c>
      <c r="D86" s="13" t="n">
        <v>0.0433217592592593</v>
      </c>
      <c r="E86" s="11" t="s">
        <v>18</v>
      </c>
      <c r="F86" s="11" t="s">
        <v>35</v>
      </c>
      <c r="G86" s="11" t="s">
        <v>36</v>
      </c>
      <c r="H86" s="11"/>
      <c r="I86" s="11"/>
      <c r="J86" s="11"/>
      <c r="K86" s="14" t="s">
        <v>177</v>
      </c>
      <c r="L86" s="11" t="s">
        <v>36</v>
      </c>
    </row>
    <row r="87" customFormat="false" ht="15" hidden="false" customHeight="true" outlineLevel="0" collapsed="false">
      <c r="A87" s="11" t="n">
        <v>86</v>
      </c>
      <c r="B87" s="11" t="s">
        <v>178</v>
      </c>
      <c r="C87" s="12" t="n">
        <v>45217</v>
      </c>
      <c r="D87" s="13" t="n">
        <v>0.035775462962963</v>
      </c>
      <c r="E87" s="11" t="s">
        <v>15</v>
      </c>
      <c r="F87" s="11" t="s">
        <v>35</v>
      </c>
      <c r="G87" s="11" t="s">
        <v>36</v>
      </c>
      <c r="H87" s="11"/>
      <c r="I87" s="11"/>
      <c r="J87" s="11"/>
      <c r="K87" s="14" t="s">
        <v>179</v>
      </c>
      <c r="L87" s="11" t="s">
        <v>36</v>
      </c>
    </row>
    <row r="88" customFormat="false" ht="15" hidden="false" customHeight="true" outlineLevel="0" collapsed="false">
      <c r="A88" s="11" t="n">
        <v>87</v>
      </c>
      <c r="B88" s="11" t="s">
        <v>180</v>
      </c>
      <c r="C88" s="12" t="n">
        <v>45224</v>
      </c>
      <c r="D88" s="13" t="n">
        <v>0.0255902777777778</v>
      </c>
      <c r="E88" s="11" t="s">
        <v>15</v>
      </c>
      <c r="F88" s="11" t="s">
        <v>35</v>
      </c>
      <c r="G88" s="11" t="s">
        <v>36</v>
      </c>
      <c r="H88" s="11"/>
      <c r="I88" s="11"/>
      <c r="J88" s="11"/>
      <c r="K88" s="14" t="s">
        <v>181</v>
      </c>
      <c r="L88" s="11" t="s">
        <v>36</v>
      </c>
    </row>
    <row r="89" customFormat="false" ht="26.25" hidden="false" customHeight="true" outlineLevel="0" collapsed="false">
      <c r="A89" s="16" t="n">
        <v>88</v>
      </c>
      <c r="B89" s="16" t="s">
        <v>103</v>
      </c>
      <c r="C89" s="17" t="n">
        <v>45231</v>
      </c>
      <c r="D89" s="18" t="n">
        <v>0.0364930555555556</v>
      </c>
      <c r="E89" s="16" t="s">
        <v>19</v>
      </c>
      <c r="F89" s="16" t="s">
        <v>35</v>
      </c>
      <c r="G89" s="16" t="s">
        <v>135</v>
      </c>
      <c r="H89" s="16" t="n">
        <v>39</v>
      </c>
      <c r="I89" s="16" t="s">
        <v>182</v>
      </c>
      <c r="J89" s="16"/>
      <c r="K89" s="19" t="s">
        <v>183</v>
      </c>
      <c r="L89" s="16" t="s">
        <v>36</v>
      </c>
    </row>
    <row r="90" customFormat="false" ht="26.25" hidden="false" customHeight="true" outlineLevel="0" collapsed="false">
      <c r="A90" s="16" t="n">
        <v>89</v>
      </c>
      <c r="B90" s="16" t="s">
        <v>105</v>
      </c>
      <c r="C90" s="17" t="n">
        <v>45238</v>
      </c>
      <c r="D90" s="18" t="n">
        <v>0.0339930555555556</v>
      </c>
      <c r="E90" s="16" t="s">
        <v>19</v>
      </c>
      <c r="F90" s="16" t="s">
        <v>35</v>
      </c>
      <c r="G90" s="16" t="s">
        <v>135</v>
      </c>
      <c r="H90" s="16" t="n">
        <v>40</v>
      </c>
      <c r="I90" s="16" t="s">
        <v>182</v>
      </c>
      <c r="J90" s="16"/>
      <c r="K90" s="19" t="s">
        <v>184</v>
      </c>
      <c r="L90" s="16" t="s">
        <v>36</v>
      </c>
    </row>
    <row r="91" customFormat="false" ht="15" hidden="false" customHeight="true" outlineLevel="0" collapsed="false">
      <c r="A91" s="11" t="n">
        <v>90</v>
      </c>
      <c r="B91" s="11" t="s">
        <v>185</v>
      </c>
      <c r="C91" s="12" t="n">
        <v>45245</v>
      </c>
      <c r="D91" s="13" t="n">
        <v>0.0332638888888889</v>
      </c>
      <c r="E91" s="11" t="s">
        <v>18</v>
      </c>
      <c r="F91" s="11" t="s">
        <v>35</v>
      </c>
      <c r="G91" s="11" t="s">
        <v>36</v>
      </c>
      <c r="H91" s="11"/>
      <c r="I91" s="11"/>
      <c r="J91" s="11"/>
      <c r="K91" s="14" t="s">
        <v>186</v>
      </c>
      <c r="L91" s="11" t="s">
        <v>36</v>
      </c>
    </row>
    <row r="92" customFormat="false" ht="26.25" hidden="false" customHeight="true" outlineLevel="0" collapsed="false">
      <c r="A92" s="16" t="n">
        <v>91</v>
      </c>
      <c r="B92" s="16" t="s">
        <v>112</v>
      </c>
      <c r="C92" s="17" t="n">
        <v>45252</v>
      </c>
      <c r="D92" s="18" t="n">
        <v>0.0340393518518519</v>
      </c>
      <c r="E92" s="16" t="s">
        <v>19</v>
      </c>
      <c r="F92" s="16" t="s">
        <v>35</v>
      </c>
      <c r="G92" s="16" t="s">
        <v>135</v>
      </c>
      <c r="H92" s="16" t="n">
        <v>43</v>
      </c>
      <c r="I92" s="16" t="s">
        <v>182</v>
      </c>
      <c r="J92" s="16"/>
      <c r="K92" s="19" t="s">
        <v>187</v>
      </c>
      <c r="L92" s="16" t="s">
        <v>36</v>
      </c>
    </row>
    <row r="93" customFormat="false" ht="26.25" hidden="false" customHeight="true" outlineLevel="0" collapsed="false">
      <c r="A93" s="16" t="n">
        <v>92</v>
      </c>
      <c r="B93" s="16" t="s">
        <v>116</v>
      </c>
      <c r="C93" s="17" t="n">
        <v>45259</v>
      </c>
      <c r="D93" s="18" t="n">
        <v>0.0294212962962963</v>
      </c>
      <c r="E93" s="16" t="s">
        <v>19</v>
      </c>
      <c r="F93" s="16" t="s">
        <v>35</v>
      </c>
      <c r="G93" s="16" t="s">
        <v>135</v>
      </c>
      <c r="H93" s="16" t="n">
        <v>45</v>
      </c>
      <c r="I93" s="16" t="s">
        <v>182</v>
      </c>
      <c r="J93" s="16"/>
      <c r="K93" s="19" t="s">
        <v>188</v>
      </c>
      <c r="L93" s="16" t="s">
        <v>36</v>
      </c>
    </row>
    <row r="94" customFormat="false" ht="26.25" hidden="false" customHeight="true" outlineLevel="0" collapsed="false">
      <c r="A94" s="16" t="n">
        <v>93</v>
      </c>
      <c r="B94" s="16" t="s">
        <v>129</v>
      </c>
      <c r="C94" s="17" t="n">
        <v>45266</v>
      </c>
      <c r="D94" s="18" t="n">
        <v>0.0240046296296296</v>
      </c>
      <c r="E94" s="16" t="s">
        <v>17</v>
      </c>
      <c r="F94" s="16" t="s">
        <v>58</v>
      </c>
      <c r="G94" s="16" t="s">
        <v>135</v>
      </c>
      <c r="H94" s="16" t="n">
        <v>56</v>
      </c>
      <c r="I94" s="16" t="s">
        <v>182</v>
      </c>
      <c r="J94" s="16"/>
      <c r="K94" s="19" t="s">
        <v>189</v>
      </c>
      <c r="L94" s="16" t="s">
        <v>36</v>
      </c>
    </row>
    <row r="95" customFormat="false" ht="26.25" hidden="false" customHeight="true" outlineLevel="0" collapsed="false">
      <c r="A95" s="16" t="n">
        <v>94</v>
      </c>
      <c r="B95" s="16" t="s">
        <v>131</v>
      </c>
      <c r="C95" s="17" t="n">
        <v>45273</v>
      </c>
      <c r="D95" s="18" t="n">
        <v>0.0223032407407407</v>
      </c>
      <c r="E95" s="16" t="s">
        <v>17</v>
      </c>
      <c r="F95" s="16" t="s">
        <v>58</v>
      </c>
      <c r="G95" s="16" t="s">
        <v>135</v>
      </c>
      <c r="H95" s="16" t="n">
        <v>57</v>
      </c>
      <c r="I95" s="16" t="s">
        <v>182</v>
      </c>
      <c r="J95" s="16"/>
      <c r="K95" s="19" t="s">
        <v>190</v>
      </c>
      <c r="L95" s="16" t="s">
        <v>36</v>
      </c>
    </row>
    <row r="96" customFormat="false" ht="15" hidden="false" customHeight="true" outlineLevel="0" collapsed="false">
      <c r="A96" s="16" t="n">
        <v>95</v>
      </c>
      <c r="B96" s="16" t="s">
        <v>152</v>
      </c>
      <c r="C96" s="17" t="n">
        <v>45280</v>
      </c>
      <c r="D96" s="18" t="n">
        <v>0.0314467592592593</v>
      </c>
      <c r="E96" s="16" t="s">
        <v>18</v>
      </c>
      <c r="F96" s="16" t="s">
        <v>35</v>
      </c>
      <c r="G96" s="16" t="s">
        <v>135</v>
      </c>
      <c r="H96" s="16" t="n">
        <v>74</v>
      </c>
      <c r="I96" s="16" t="s">
        <v>143</v>
      </c>
      <c r="J96" s="16"/>
      <c r="K96" s="19" t="s">
        <v>191</v>
      </c>
      <c r="L96" s="16" t="s">
        <v>36</v>
      </c>
    </row>
    <row r="97" customFormat="false" ht="26.25" hidden="false" customHeight="true" outlineLevel="0" collapsed="false">
      <c r="A97" s="16" t="n">
        <v>96</v>
      </c>
      <c r="B97" s="16" t="s">
        <v>110</v>
      </c>
      <c r="C97" s="17" t="n">
        <v>45287</v>
      </c>
      <c r="D97" s="18" t="n">
        <v>0.0243981481481482</v>
      </c>
      <c r="E97" s="16" t="s">
        <v>19</v>
      </c>
      <c r="F97" s="16" t="s">
        <v>35</v>
      </c>
      <c r="G97" s="16" t="s">
        <v>135</v>
      </c>
      <c r="H97" s="16" t="n">
        <v>42</v>
      </c>
      <c r="I97" s="16" t="s">
        <v>182</v>
      </c>
      <c r="J97" s="16"/>
      <c r="K97" s="19" t="s">
        <v>192</v>
      </c>
      <c r="L97" s="16" t="s">
        <v>36</v>
      </c>
    </row>
    <row r="98" customFormat="false" ht="26.25" hidden="false" customHeight="true" outlineLevel="0" collapsed="false">
      <c r="A98" s="16" t="n">
        <v>97</v>
      </c>
      <c r="B98" s="16" t="s">
        <v>114</v>
      </c>
      <c r="C98" s="17" t="n">
        <v>45294</v>
      </c>
      <c r="D98" s="18" t="n">
        <v>0.0268634259259259</v>
      </c>
      <c r="E98" s="16" t="s">
        <v>19</v>
      </c>
      <c r="F98" s="16" t="s">
        <v>35</v>
      </c>
      <c r="G98" s="16" t="s">
        <v>135</v>
      </c>
      <c r="H98" s="16" t="n">
        <v>44</v>
      </c>
      <c r="I98" s="16" t="s">
        <v>182</v>
      </c>
      <c r="J98" s="16"/>
      <c r="K98" s="19" t="s">
        <v>193</v>
      </c>
      <c r="L98" s="16" t="s">
        <v>36</v>
      </c>
    </row>
    <row r="99" customFormat="false" ht="26.25" hidden="false" customHeight="true" outlineLevel="0" collapsed="false">
      <c r="A99" s="16" t="n">
        <v>98</v>
      </c>
      <c r="B99" s="16" t="s">
        <v>118</v>
      </c>
      <c r="C99" s="17" t="n">
        <v>45301</v>
      </c>
      <c r="D99" s="18" t="n">
        <v>0.0333101851851852</v>
      </c>
      <c r="E99" s="16" t="s">
        <v>15</v>
      </c>
      <c r="F99" s="16" t="s">
        <v>108</v>
      </c>
      <c r="G99" s="16" t="s">
        <v>135</v>
      </c>
      <c r="H99" s="16" t="n">
        <v>46</v>
      </c>
      <c r="I99" s="16" t="s">
        <v>182</v>
      </c>
      <c r="J99" s="16"/>
      <c r="K99" s="19" t="s">
        <v>194</v>
      </c>
      <c r="L99" s="16" t="s">
        <v>36</v>
      </c>
    </row>
    <row r="100" customFormat="false" ht="26.25" hidden="false" customHeight="true" outlineLevel="0" collapsed="false">
      <c r="A100" s="16" t="n">
        <v>99</v>
      </c>
      <c r="B100" s="16" t="s">
        <v>107</v>
      </c>
      <c r="C100" s="17" t="n">
        <v>45308</v>
      </c>
      <c r="D100" s="18" t="n">
        <v>0.0310532407407407</v>
      </c>
      <c r="E100" s="16" t="s">
        <v>17</v>
      </c>
      <c r="F100" s="16" t="s">
        <v>108</v>
      </c>
      <c r="G100" s="16" t="s">
        <v>135</v>
      </c>
      <c r="H100" s="16" t="n">
        <v>41</v>
      </c>
      <c r="I100" s="16" t="s">
        <v>182</v>
      </c>
      <c r="J100" s="16"/>
      <c r="K100" s="19" t="s">
        <v>195</v>
      </c>
      <c r="L100" s="16" t="s">
        <v>36</v>
      </c>
    </row>
  </sheetData>
  <autoFilter ref="A1:L100"/>
  <hyperlinks>
    <hyperlink ref="K2" r:id="rId2" display="https://www.buzzsprout.com/1891053/episodes"/>
    <hyperlink ref="K3" r:id="rId3" display="https://www.buzzsprout.com/1891053/episodes"/>
    <hyperlink ref="K4" r:id="rId4" display="https://www.buzzsprout.com/1891053/episodes"/>
    <hyperlink ref="K5" r:id="rId5" display="https://www.buzzsprout.com/1891053/episodes"/>
    <hyperlink ref="K6" r:id="rId6" display="https://www.buzzsprout.com/1891053/episodes"/>
    <hyperlink ref="K7" r:id="rId7" display="https://www.buzzsprout.com/1891053/episodes"/>
    <hyperlink ref="K8" r:id="rId8" display="https://www.buzzsprout.com/1891053/episodes"/>
    <hyperlink ref="K9" r:id="rId9" display="https://www.buzzsprout.com/1891053/episodes"/>
    <hyperlink ref="K10" r:id="rId10" display="https://www.buzzsprout.com/1891053/episodes"/>
    <hyperlink ref="K11" r:id="rId11" display="https://www.buzzsprout.com/1891053/episodes"/>
    <hyperlink ref="K12" r:id="rId12" display="https://www.buzzsprout.com/1891053/episodes"/>
    <hyperlink ref="K13" r:id="rId13" display="https://www.buzzsprout.com/1891053/episodes"/>
    <hyperlink ref="K14" r:id="rId14" display="https://www.buzzsprout.com/1891053/episodes"/>
    <hyperlink ref="K15" r:id="rId15" display="https://www.buzzsprout.com/1891053/episodes"/>
    <hyperlink ref="K16" r:id="rId16" display="https://www.buzzsprout.com/1891053/episodes"/>
    <hyperlink ref="K17" r:id="rId17" display="https://www.buzzsprout.com/1891053/episodes"/>
    <hyperlink ref="K18" r:id="rId18" display="https://www.buzzsprout.com/1891053/episodes"/>
    <hyperlink ref="K19" r:id="rId19" display="https://www.buzzsprout.com/1891053/episodes"/>
    <hyperlink ref="K20" r:id="rId20" display="https://www.buzzsprout.com/1891053/episodes"/>
    <hyperlink ref="K21" r:id="rId21" display="https://www.buzzsprout.com/1891053/episodes"/>
    <hyperlink ref="K22" r:id="rId22" display="https://www.buzzsprout.com/1891053/episodes"/>
    <hyperlink ref="K23" r:id="rId23" display="https://www.buzzsprout.com/1891053/episodes"/>
    <hyperlink ref="K24" r:id="rId24" display="https://www.buzzsprout.com/1891053/episodes"/>
    <hyperlink ref="K25" r:id="rId25" display="https://www.buzzsprout.com/1891053/episodes"/>
    <hyperlink ref="K26" r:id="rId26" display="https://www.buzzsprout.com/1891053/episodes"/>
    <hyperlink ref="K27" r:id="rId27" display="https://www.buzzsprout.com/1891053/episodes"/>
    <hyperlink ref="K28" r:id="rId28" display="https://www.buzzsprout.com/1891053/episodes"/>
    <hyperlink ref="K29" r:id="rId29" display="https://www.buzzsprout.com/1891053/episodes"/>
    <hyperlink ref="K30" r:id="rId30" display="https://www.buzzsprout.com/1891053/episodes"/>
    <hyperlink ref="K31" r:id="rId31" display="https://www.buzzsprout.com/1891053/episodes"/>
    <hyperlink ref="K32" r:id="rId32" display="https://www.buzzsprout.com/1891053/episodes"/>
    <hyperlink ref="K33" r:id="rId33" display="https://www.buzzsprout.com/1891053/episodes"/>
    <hyperlink ref="K34" r:id="rId34" display="https://www.buzzsprout.com/1891053/episodes"/>
    <hyperlink ref="K35" r:id="rId35" display="https://www.buzzsprout.com/1891053/episodes"/>
    <hyperlink ref="K36" r:id="rId36" display="https://www.buzzsprout.com/1891053/episodes"/>
    <hyperlink ref="K37" r:id="rId37" display="https://www.buzzsprout.com/1891053/episodes"/>
    <hyperlink ref="K38" r:id="rId38" display="https://www.buzzsprout.com/1891053/episodes"/>
    <hyperlink ref="K39" r:id="rId39" display="https://www.buzzsprout.com/1891053/episodes"/>
    <hyperlink ref="K40" r:id="rId40" display="https://www.buzzsprout.com/1891053/episodes"/>
    <hyperlink ref="K41" r:id="rId41" display="https://www.buzzsprout.com/1891053/episodes"/>
    <hyperlink ref="K42" r:id="rId42" display="https://www.buzzsprout.com/1891053/episodes"/>
    <hyperlink ref="K43" r:id="rId43" display="https://www.buzzsprout.com/1891053/episodes"/>
    <hyperlink ref="K44" r:id="rId44" display="https://www.buzzsprout.com/1891053/episodes"/>
    <hyperlink ref="K45" r:id="rId45" display="https://www.buzzsprout.com/1891053/episodes"/>
    <hyperlink ref="K46" r:id="rId46" display="https://www.buzzsprout.com/1891053/episodes"/>
    <hyperlink ref="K47" r:id="rId47" display="https://www.buzzsprout.com/1891053/episodes"/>
    <hyperlink ref="K48" r:id="rId48" display="https://www.buzzsprout.com/1891053/episodes"/>
    <hyperlink ref="K49" r:id="rId49" display="https://www.buzzsprout.com/1891053/episodes"/>
    <hyperlink ref="K50" r:id="rId50" display="https://www.buzzsprout.com/1891053/episodes"/>
    <hyperlink ref="K51" r:id="rId51" display="https://www.buzzsprout.com/1891053/episodes"/>
    <hyperlink ref="K52" r:id="rId52" display="https://www.buzzsprout.com/1891053/episodes"/>
    <hyperlink ref="K53" r:id="rId53" display="https://www.buzzsprout.com/1891053/episodes"/>
    <hyperlink ref="K54" r:id="rId54" display="https://www.buzzsprout.com/1891053/episodes"/>
    <hyperlink ref="K55" r:id="rId55" display="https://www.buzzsprout.com/1891053/episodes"/>
    <hyperlink ref="K56" r:id="rId56" display="https://www.buzzsprout.com/1891053/episodes"/>
    <hyperlink ref="K57" r:id="rId57" display="https://www.buzzsprout.com/1891053/episodes"/>
    <hyperlink ref="K58" r:id="rId58" display="https://www.buzzsprout.com/1891053/episodes"/>
    <hyperlink ref="K59" r:id="rId59" display="https://www.buzzsprout.com/1891053/episodes"/>
    <hyperlink ref="K60" r:id="rId60" display="https://www.buzzsprout.com/1891053/episodes"/>
    <hyperlink ref="K61" r:id="rId61" display="https://www.buzzsprout.com/1891053/episodes"/>
    <hyperlink ref="K62" r:id="rId62" display="https://www.buzzsprout.com/1891053/episodes"/>
    <hyperlink ref="K63" r:id="rId63" display="https://www.buzzsprout.com/1891053/episodes"/>
    <hyperlink ref="K64" r:id="rId64" display="https://www.buzzsprout.com/1891053/episodes"/>
    <hyperlink ref="K65" r:id="rId65" display="https://www.buzzsprout.com/1891053/episodes"/>
    <hyperlink ref="K66" r:id="rId66" display="https://www.buzzsprout.com/1891053/episodes"/>
    <hyperlink ref="K67" r:id="rId67" display="https://www.buzzsprout.com/1891053/episodes"/>
    <hyperlink ref="K68" r:id="rId68" display="https://www.buzzsprout.com/1891053/episodes"/>
    <hyperlink ref="K69" r:id="rId69" display="https://www.buzzsprout.com/1891053/episodes"/>
    <hyperlink ref="K70" r:id="rId70" display="https://www.buzzsprout.com/1891053/episodes"/>
    <hyperlink ref="K71" r:id="rId71" display="https://www.buzzsprout.com/1891053/episodes"/>
    <hyperlink ref="K72" r:id="rId72" display="https://www.buzzsprout.com/1891053/episodes"/>
    <hyperlink ref="K73" r:id="rId73" display="https://www.buzzsprout.com/1891053/episodes"/>
    <hyperlink ref="K74" r:id="rId74" display="https://www.buzzsprout.com/1891053/episodes"/>
    <hyperlink ref="K75" r:id="rId75" display="https://www.buzzsprout.com/1891053/episodes"/>
    <hyperlink ref="K76" r:id="rId76" display="https://www.buzzsprout.com/1891053/episodes/13334191-inner-victory-champions"/>
    <hyperlink ref="K77" r:id="rId77" display="https://www.buzzsprout.com/1891053/episodes/13373768-a-conversation-with-robin-tasco"/>
    <hyperlink ref="K78" r:id="rId78" display="https://www.buzzsprout.com/1891053/episodes/13415954-is-your-career-your-passion"/>
    <hyperlink ref="K79" r:id="rId79" display="https://www.buzzsprout.com/1891053/episodes/13456987-short-cuts-and-baggage"/>
    <hyperlink ref="K80" r:id="rId80" display="https://www.buzzsprout.com/1891053/episodes/13495136-toxic-relationship-advice-women-s-edition"/>
    <hyperlink ref="K81" r:id="rId81" display="https://www.buzzsprout.com/1891053/episodes/13537156-toxic-relationship-advice-men-s-edition"/>
    <hyperlink ref="K82" r:id="rId82" display="https://www.buzzsprout.com/1891053/episodes/13581203-deep-dive-into-relationships-part-1"/>
    <hyperlink ref="K83" r:id="rId83" display="https://www.buzzsprout.com/1891053/episodes/13627189-deep-dive-into-relationships-part-2"/>
    <hyperlink ref="K84" r:id="rId84" display="https://www.buzzsprout.com/1891053/episodes/13671939-relationship-transitions"/>
    <hyperlink ref="K85" r:id="rId85" display="https://www.buzzsprout.com/1891053/episodes/13714633-relationships-from-the-couples-perspective"/>
    <hyperlink ref="K86" r:id="rId86" display="https://www.buzzsprout.com/1891053/episodes/13758254-how-your-finances-impact-your-life"/>
    <hyperlink ref="K87" r:id="rId87" display="https://www.buzzsprout.com/1891053/episodes/13801515-the-six-elements-of-good-health-part-one"/>
    <hyperlink ref="K88" r:id="rId88" display="https://www.buzzsprout.com/1891053/episodes/13843681-the-six-elements-of-good-health-part-two"/>
    <hyperlink ref="K89" r:id="rId89" display="https://www.buzzsprout.com/1891053/episodes/13888609-thanksgiving"/>
    <hyperlink ref="K90" r:id="rId90" display="https://www.buzzsprout.com/1891053/episodes/13933555-after-thanksgiving-thoughts"/>
    <hyperlink ref="K91" r:id="rId91" display="https://www.buzzsprout.com/1891053/episodes/13978357-investments"/>
    <hyperlink ref="K92" r:id="rId92" display="https://www.buzzsprout.com/1891053/episodes/14014601-christmas-part-1"/>
    <hyperlink ref="K93" r:id="rId93" display="https://www.buzzsprout.com/1891053/episodes/14014609-after-christmas-has-past"/>
    <hyperlink ref="K94" r:id="rId94" display="https://www.buzzsprout.com/1891053/episodes/14100273-coaching-part-1"/>
    <hyperlink ref="K95" r:id="rId95" display="https://www.buzzsprout.com/1891053/episodes/14135763-coaching-part-2"/>
    <hyperlink ref="K96" r:id="rId96" display="https://www.buzzsprout.com/1891053/episodes/14135799-finance-2023"/>
    <hyperlink ref="K97" r:id="rId97" display="https://www.buzzsprout.com/1891053/episodes/14135865-year-end-wrap-up-part-one"/>
    <hyperlink ref="K98" r:id="rId98" display="https://www.buzzsprout.com/1891053/episodes/14135878-year-end-wrap-part-two"/>
    <hyperlink ref="K99" r:id="rId99" display="https://www.buzzsprout.com/1891053/episodes/14270934-being-a-health-advocate"/>
    <hyperlink ref="K100" r:id="rId100" display="https://www.buzzsprout.com/1891053/episodes/14327001-being-a-podcast-ho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01"/>
  <legacyDrawing r:id="rId1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3"/>
    <col collapsed="false" customWidth="true" hidden="false" outlineLevel="0" max="3" min="3" style="1" width="26"/>
    <col collapsed="false" customWidth="true" hidden="false" outlineLevel="0" max="5" min="4" style="1" width="60"/>
    <col collapsed="false" customWidth="true" hidden="false" outlineLevel="0" max="6" min="6" style="1" width="9"/>
  </cols>
  <sheetData>
    <row r="1" customFormat="false" ht="17.25" hidden="false" customHeight="true" outlineLevel="0" collapsed="false">
      <c r="A1" s="2" t="s">
        <v>196</v>
      </c>
    </row>
    <row r="2" customFormat="false" ht="15" hidden="false" customHeight="true" outlineLevel="0" collapsed="false">
      <c r="A2" s="4" t="s">
        <v>197</v>
      </c>
      <c r="B2" s="20" t="n">
        <v>46300</v>
      </c>
      <c r="C2" s="3" t="s">
        <v>198</v>
      </c>
    </row>
    <row r="4" customFormat="false" ht="15" hidden="false" customHeight="true" outlineLevel="0" collapsed="false">
      <c r="A4" s="21" t="s">
        <v>199</v>
      </c>
      <c r="B4" s="21" t="s">
        <v>200</v>
      </c>
      <c r="C4" s="21" t="s">
        <v>201</v>
      </c>
      <c r="D4" s="21" t="s">
        <v>202</v>
      </c>
      <c r="E4" s="21" t="s">
        <v>203</v>
      </c>
      <c r="F4" s="21" t="s">
        <v>204</v>
      </c>
    </row>
    <row r="5" customFormat="false" ht="39" hidden="false" customHeight="true" outlineLevel="0" collapsed="false">
      <c r="A5" s="11" t="n">
        <v>1</v>
      </c>
      <c r="B5" s="22" t="n">
        <f aca="false">$B$2+A5-1</f>
        <v>46300</v>
      </c>
      <c r="C5" s="11" t="s">
        <v>205</v>
      </c>
      <c r="D5" s="11" t="s">
        <v>206</v>
      </c>
      <c r="E5" s="11"/>
      <c r="F5" s="11"/>
    </row>
    <row r="6" customFormat="false" ht="39" hidden="false" customHeight="true" outlineLevel="0" collapsed="false">
      <c r="A6" s="11" t="n">
        <v>2</v>
      </c>
      <c r="B6" s="22" t="n">
        <f aca="false">$B$2+A6-1</f>
        <v>46301</v>
      </c>
      <c r="C6" s="11" t="s">
        <v>207</v>
      </c>
      <c r="D6" s="11" t="s">
        <v>208</v>
      </c>
      <c r="E6" s="11"/>
      <c r="F6" s="11"/>
    </row>
    <row r="7" customFormat="false" ht="26.25" hidden="false" customHeight="true" outlineLevel="0" collapsed="false">
      <c r="A7" s="23" t="n">
        <v>3</v>
      </c>
      <c r="B7" s="24" t="n">
        <f aca="false">$B$2+A7-1</f>
        <v>46302</v>
      </c>
      <c r="C7" s="23" t="s">
        <v>209</v>
      </c>
      <c r="D7" s="23" t="s">
        <v>210</v>
      </c>
      <c r="E7" s="23" t="s">
        <v>211</v>
      </c>
      <c r="F7" s="23"/>
    </row>
    <row r="8" customFormat="false" ht="26.25" hidden="false" customHeight="true" outlineLevel="0" collapsed="false">
      <c r="A8" s="23" t="n">
        <v>4</v>
      </c>
      <c r="B8" s="24" t="n">
        <f aca="false">$B$2+A8-1</f>
        <v>46303</v>
      </c>
      <c r="C8" s="23" t="s">
        <v>212</v>
      </c>
      <c r="D8" s="23" t="s">
        <v>213</v>
      </c>
      <c r="E8" s="23" t="s">
        <v>214</v>
      </c>
      <c r="F8" s="23"/>
    </row>
    <row r="9" customFormat="false" ht="26.25" hidden="false" customHeight="true" outlineLevel="0" collapsed="false">
      <c r="A9" s="11" t="n">
        <v>5</v>
      </c>
      <c r="B9" s="22" t="n">
        <f aca="false">$B$2+A9-1</f>
        <v>46304</v>
      </c>
      <c r="C9" s="11" t="s">
        <v>215</v>
      </c>
      <c r="D9" s="11" t="s">
        <v>216</v>
      </c>
      <c r="E9" s="11" t="s">
        <v>217</v>
      </c>
      <c r="F9" s="11"/>
    </row>
    <row r="10" customFormat="false" ht="26.25" hidden="false" customHeight="true" outlineLevel="0" collapsed="false">
      <c r="A10" s="11" t="n">
        <v>6</v>
      </c>
      <c r="B10" s="22" t="n">
        <f aca="false">$B$2+A10-1</f>
        <v>46305</v>
      </c>
      <c r="C10" s="11" t="s">
        <v>218</v>
      </c>
      <c r="D10" s="11" t="s">
        <v>216</v>
      </c>
      <c r="E10" s="11" t="s">
        <v>219</v>
      </c>
      <c r="F10" s="11"/>
    </row>
    <row r="11" customFormat="false" ht="26.25" hidden="false" customHeight="true" outlineLevel="0" collapsed="false">
      <c r="A11" s="11" t="n">
        <v>7</v>
      </c>
      <c r="B11" s="22" t="n">
        <f aca="false">$B$2+A11-1</f>
        <v>46306</v>
      </c>
      <c r="C11" s="11" t="s">
        <v>220</v>
      </c>
      <c r="D11" s="11" t="s">
        <v>216</v>
      </c>
      <c r="E11" s="11" t="s">
        <v>221</v>
      </c>
      <c r="F11" s="11"/>
    </row>
    <row r="12" customFormat="false" ht="26.25" hidden="false" customHeight="true" outlineLevel="0" collapsed="false">
      <c r="A12" s="11" t="n">
        <v>8</v>
      </c>
      <c r="B12" s="22" t="n">
        <f aca="false">$B$2+A12-1</f>
        <v>46307</v>
      </c>
      <c r="C12" s="11" t="s">
        <v>220</v>
      </c>
      <c r="D12" s="11" t="s">
        <v>216</v>
      </c>
      <c r="E12" s="11" t="s">
        <v>222</v>
      </c>
      <c r="F12" s="11"/>
    </row>
    <row r="13" customFormat="false" ht="26.25" hidden="false" customHeight="true" outlineLevel="0" collapsed="false">
      <c r="A13" s="11" t="n">
        <v>9</v>
      </c>
      <c r="B13" s="22" t="n">
        <f aca="false">$B$2+A13-1</f>
        <v>46308</v>
      </c>
      <c r="C13" s="11" t="s">
        <v>223</v>
      </c>
      <c r="D13" s="11" t="s">
        <v>216</v>
      </c>
      <c r="E13" s="11" t="s">
        <v>224</v>
      </c>
      <c r="F13" s="11"/>
    </row>
    <row r="14" customFormat="false" ht="26.25" hidden="false" customHeight="true" outlineLevel="0" collapsed="false">
      <c r="A14" s="11" t="n">
        <v>10</v>
      </c>
      <c r="B14" s="22" t="n">
        <f aca="false">$B$2+A14-1</f>
        <v>46309</v>
      </c>
      <c r="C14" s="11" t="s">
        <v>225</v>
      </c>
      <c r="D14" s="11" t="s">
        <v>216</v>
      </c>
      <c r="E14" s="11" t="s">
        <v>226</v>
      </c>
      <c r="F14" s="11"/>
    </row>
    <row r="15" customFormat="false" ht="26.25" hidden="false" customHeight="true" outlineLevel="0" collapsed="false">
      <c r="A15" s="11" t="n">
        <v>11</v>
      </c>
      <c r="B15" s="22" t="n">
        <f aca="false">$B$2+A15-1</f>
        <v>46310</v>
      </c>
      <c r="C15" s="11" t="s">
        <v>227</v>
      </c>
      <c r="D15" s="11" t="s">
        <v>216</v>
      </c>
      <c r="E15" s="11" t="s">
        <v>228</v>
      </c>
      <c r="F15" s="11"/>
    </row>
    <row r="16" customFormat="false" ht="39" hidden="false" customHeight="true" outlineLevel="0" collapsed="false">
      <c r="A16" s="11" t="n">
        <v>12</v>
      </c>
      <c r="B16" s="22" t="n">
        <f aca="false">$B$2+A16-1</f>
        <v>46311</v>
      </c>
      <c r="C16" s="11" t="s">
        <v>229</v>
      </c>
      <c r="D16" s="11" t="s">
        <v>216</v>
      </c>
      <c r="E16" s="11" t="s">
        <v>230</v>
      </c>
      <c r="F16" s="11"/>
    </row>
    <row r="17" customFormat="false" ht="26.25" hidden="false" customHeight="true" outlineLevel="0" collapsed="false">
      <c r="A17" s="11" t="n">
        <v>13</v>
      </c>
      <c r="B17" s="22" t="n">
        <f aca="false">$B$2+A17-1</f>
        <v>46312</v>
      </c>
      <c r="C17" s="11" t="s">
        <v>229</v>
      </c>
      <c r="D17" s="11" t="s">
        <v>216</v>
      </c>
      <c r="E17" s="11" t="s">
        <v>231</v>
      </c>
      <c r="F17" s="11"/>
    </row>
    <row r="18" customFormat="false" ht="26.25" hidden="false" customHeight="true" outlineLevel="0" collapsed="false">
      <c r="A18" s="11" t="n">
        <v>14</v>
      </c>
      <c r="B18" s="22" t="n">
        <f aca="false">$B$2+A18-1</f>
        <v>46313</v>
      </c>
      <c r="C18" s="11" t="s">
        <v>229</v>
      </c>
      <c r="D18" s="11" t="s">
        <v>216</v>
      </c>
      <c r="E18" s="11" t="s">
        <v>232</v>
      </c>
      <c r="F18" s="11"/>
    </row>
    <row r="19" customFormat="false" ht="26.25" hidden="false" customHeight="true" outlineLevel="0" collapsed="false">
      <c r="A19" s="11" t="n">
        <v>15</v>
      </c>
      <c r="B19" s="22" t="n">
        <f aca="false">$B$2+A19-1</f>
        <v>46314</v>
      </c>
      <c r="C19" s="11" t="s">
        <v>229</v>
      </c>
      <c r="D19" s="11" t="s">
        <v>216</v>
      </c>
      <c r="E19" s="11" t="s">
        <v>233</v>
      </c>
      <c r="F19" s="11"/>
    </row>
    <row r="20" customFormat="false" ht="26.25" hidden="false" customHeight="true" outlineLevel="0" collapsed="false">
      <c r="A20" s="11" t="n">
        <v>16</v>
      </c>
      <c r="B20" s="22" t="n">
        <f aca="false">$B$2+A20-1</f>
        <v>46315</v>
      </c>
      <c r="C20" s="11" t="s">
        <v>234</v>
      </c>
      <c r="D20" s="11" t="s">
        <v>216</v>
      </c>
      <c r="E20" s="11" t="s">
        <v>235</v>
      </c>
      <c r="F20" s="11"/>
    </row>
    <row r="21" customFormat="false" ht="26.25" hidden="false" customHeight="true" outlineLevel="0" collapsed="false">
      <c r="A21" s="11" t="n">
        <v>17</v>
      </c>
      <c r="B21" s="22" t="n">
        <f aca="false">$B$2+A21-1</f>
        <v>46316</v>
      </c>
      <c r="C21" s="11" t="s">
        <v>236</v>
      </c>
      <c r="D21" s="11" t="s">
        <v>216</v>
      </c>
      <c r="E21" s="11" t="s">
        <v>237</v>
      </c>
      <c r="F21" s="11"/>
    </row>
    <row r="22" customFormat="false" ht="26.25" hidden="false" customHeight="true" outlineLevel="0" collapsed="false">
      <c r="A22" s="11" t="n">
        <v>18</v>
      </c>
      <c r="B22" s="22" t="n">
        <f aca="false">$B$2+A22-1</f>
        <v>46317</v>
      </c>
      <c r="C22" s="11" t="s">
        <v>236</v>
      </c>
      <c r="D22" s="11" t="s">
        <v>216</v>
      </c>
      <c r="E22" s="11" t="s">
        <v>238</v>
      </c>
      <c r="F22" s="11"/>
    </row>
    <row r="23" customFormat="false" ht="39" hidden="false" customHeight="true" outlineLevel="0" collapsed="false">
      <c r="A23" s="11" t="n">
        <v>19</v>
      </c>
      <c r="B23" s="22" t="n">
        <f aca="false">$B$2+A23-1</f>
        <v>46318</v>
      </c>
      <c r="C23" s="11" t="s">
        <v>239</v>
      </c>
      <c r="D23" s="11" t="s">
        <v>216</v>
      </c>
      <c r="E23" s="11" t="s">
        <v>240</v>
      </c>
      <c r="F23" s="11"/>
    </row>
    <row r="24" customFormat="false" ht="39" hidden="false" customHeight="true" outlineLevel="0" collapsed="false">
      <c r="A24" s="11" t="n">
        <v>20</v>
      </c>
      <c r="B24" s="22" t="n">
        <f aca="false">$B$2+A24-1</f>
        <v>46319</v>
      </c>
      <c r="C24" s="11" t="s">
        <v>241</v>
      </c>
      <c r="D24" s="11" t="s">
        <v>216</v>
      </c>
      <c r="E24" s="11" t="s">
        <v>242</v>
      </c>
      <c r="F24" s="11"/>
    </row>
    <row r="25" customFormat="false" ht="26.25" hidden="false" customHeight="true" outlineLevel="0" collapsed="false">
      <c r="A25" s="11" t="n">
        <v>21</v>
      </c>
      <c r="B25" s="22" t="n">
        <f aca="false">$B$2+A25-1</f>
        <v>46320</v>
      </c>
      <c r="C25" s="11" t="s">
        <v>241</v>
      </c>
      <c r="D25" s="11" t="s">
        <v>216</v>
      </c>
      <c r="E25" s="11" t="s">
        <v>243</v>
      </c>
      <c r="F25" s="11"/>
    </row>
    <row r="26" customFormat="false" ht="39" hidden="false" customHeight="true" outlineLevel="0" collapsed="false">
      <c r="A26" s="11" t="n">
        <v>22</v>
      </c>
      <c r="B26" s="22" t="n">
        <f aca="false">$B$2+A26-1</f>
        <v>46321</v>
      </c>
      <c r="C26" s="11" t="s">
        <v>241</v>
      </c>
      <c r="D26" s="11" t="s">
        <v>216</v>
      </c>
      <c r="E26" s="11" t="s">
        <v>244</v>
      </c>
      <c r="F26" s="11"/>
    </row>
    <row r="27" customFormat="false" ht="26.25" hidden="false" customHeight="true" outlineLevel="0" collapsed="false">
      <c r="A27" s="11" t="n">
        <v>23</v>
      </c>
      <c r="B27" s="22" t="n">
        <f aca="false">$B$2+A27-1</f>
        <v>46322</v>
      </c>
      <c r="C27" s="11" t="s">
        <v>241</v>
      </c>
      <c r="D27" s="11" t="s">
        <v>216</v>
      </c>
      <c r="E27" s="11" t="s">
        <v>245</v>
      </c>
      <c r="F27" s="11"/>
    </row>
    <row r="28" customFormat="false" ht="26.25" hidden="false" customHeight="true" outlineLevel="0" collapsed="false">
      <c r="A28" s="11" t="n">
        <v>24</v>
      </c>
      <c r="B28" s="22" t="n">
        <f aca="false">$B$2+A28-1</f>
        <v>46323</v>
      </c>
      <c r="C28" s="11" t="s">
        <v>241</v>
      </c>
      <c r="D28" s="11" t="s">
        <v>216</v>
      </c>
      <c r="E28" s="11" t="s">
        <v>246</v>
      </c>
      <c r="F28" s="11"/>
    </row>
    <row r="29" customFormat="false" ht="39" hidden="false" customHeight="true" outlineLevel="0" collapsed="false">
      <c r="A29" s="11" t="n">
        <v>25</v>
      </c>
      <c r="B29" s="22" t="n">
        <f aca="false">$B$2+A29-1</f>
        <v>46324</v>
      </c>
      <c r="C29" s="11" t="s">
        <v>241</v>
      </c>
      <c r="D29" s="11" t="s">
        <v>216</v>
      </c>
      <c r="E29" s="11" t="s">
        <v>247</v>
      </c>
      <c r="F29" s="11"/>
    </row>
    <row r="30" customFormat="false" ht="39" hidden="false" customHeight="true" outlineLevel="0" collapsed="false">
      <c r="A30" s="11" t="n">
        <v>26</v>
      </c>
      <c r="B30" s="22" t="n">
        <f aca="false">$B$2+A30-1</f>
        <v>46325</v>
      </c>
      <c r="C30" s="11" t="s">
        <v>248</v>
      </c>
      <c r="D30" s="11" t="s">
        <v>216</v>
      </c>
      <c r="E30" s="11" t="s">
        <v>249</v>
      </c>
      <c r="F30" s="11"/>
    </row>
    <row r="31" customFormat="false" ht="26.25" hidden="false" customHeight="true" outlineLevel="0" collapsed="false">
      <c r="A31" s="11" t="n">
        <v>27</v>
      </c>
      <c r="B31" s="22" t="n">
        <f aca="false">$B$2+A31-1</f>
        <v>46326</v>
      </c>
      <c r="C31" s="11" t="s">
        <v>250</v>
      </c>
      <c r="D31" s="11" t="s">
        <v>216</v>
      </c>
      <c r="E31" s="11" t="s">
        <v>251</v>
      </c>
      <c r="F31" s="11"/>
    </row>
    <row r="32" customFormat="false" ht="39" hidden="false" customHeight="true" outlineLevel="0" collapsed="false">
      <c r="A32" s="11" t="n">
        <v>28</v>
      </c>
      <c r="B32" s="22" t="n">
        <f aca="false">$B$2+A32-1</f>
        <v>46327</v>
      </c>
      <c r="C32" s="11" t="s">
        <v>252</v>
      </c>
      <c r="D32" s="11" t="s">
        <v>216</v>
      </c>
      <c r="E32" s="11" t="s">
        <v>253</v>
      </c>
      <c r="F32" s="11"/>
    </row>
    <row r="33" customFormat="false" ht="26.25" hidden="false" customHeight="true" outlineLevel="0" collapsed="false">
      <c r="A33" s="11" t="n">
        <v>29</v>
      </c>
      <c r="B33" s="22" t="n">
        <f aca="false">$B$2+A33-1</f>
        <v>46328</v>
      </c>
      <c r="C33" s="11" t="s">
        <v>254</v>
      </c>
      <c r="D33" s="11" t="s">
        <v>216</v>
      </c>
      <c r="E33" s="11" t="s">
        <v>255</v>
      </c>
      <c r="F33" s="11"/>
    </row>
    <row r="34" customFormat="false" ht="26.25" hidden="false" customHeight="true" outlineLevel="0" collapsed="false">
      <c r="A34" s="11" t="n">
        <v>30</v>
      </c>
      <c r="B34" s="22" t="n">
        <f aca="false">$B$2+A34-1</f>
        <v>46329</v>
      </c>
      <c r="C34" s="11" t="s">
        <v>256</v>
      </c>
      <c r="D34" s="11" t="s">
        <v>257</v>
      </c>
      <c r="E34" s="11"/>
      <c r="F34" s="11"/>
    </row>
    <row r="36" customFormat="false" ht="15" hidden="false" customHeight="true" outlineLevel="0" collapsed="false">
      <c r="A36" s="3" t="s">
        <v>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40"/>
    <col collapsed="false" customWidth="true" hidden="false" outlineLevel="0" max="3" min="3" style="1" width="10"/>
    <col collapsed="false" customWidth="true" hidden="false" outlineLevel="0" max="4" min="4" style="1" width="18"/>
    <col collapsed="false" customWidth="true" hidden="false" outlineLevel="0" max="6" min="5" style="1" width="22"/>
    <col collapsed="false" customWidth="true" hidden="false" outlineLevel="0" max="7" min="7" style="1" width="30"/>
    <col collapsed="false" customWidth="true" hidden="false" outlineLevel="0" max="8" min="8" style="1" width="22"/>
  </cols>
  <sheetData>
    <row r="1" customFormat="false" ht="17.25" hidden="false" customHeight="true" outlineLevel="0" collapsed="false">
      <c r="A1" s="2" t="s">
        <v>259</v>
      </c>
    </row>
    <row r="2" customFormat="false" ht="15" hidden="false" customHeight="true" outlineLevel="0" collapsed="false">
      <c r="A2" s="3" t="s">
        <v>260</v>
      </c>
    </row>
    <row r="4" customFormat="false" ht="15" hidden="false" customHeight="true" outlineLevel="0" collapsed="false">
      <c r="A4" s="21" t="s">
        <v>261</v>
      </c>
      <c r="B4" s="21" t="s">
        <v>262</v>
      </c>
      <c r="C4" s="21" t="s">
        <v>263</v>
      </c>
      <c r="D4" s="21" t="s">
        <v>264</v>
      </c>
      <c r="E4" s="21" t="s">
        <v>265</v>
      </c>
      <c r="F4" s="21" t="s">
        <v>266</v>
      </c>
      <c r="G4" s="21" t="s">
        <v>32</v>
      </c>
      <c r="H4" s="21" t="s">
        <v>267</v>
      </c>
    </row>
    <row r="5" customFormat="false" ht="15" hidden="false" customHeight="true" outlineLevel="0" collapsed="false">
      <c r="A5" s="25" t="s">
        <v>41</v>
      </c>
      <c r="B5" s="25" t="s">
        <v>268</v>
      </c>
      <c r="C5" s="25" t="n">
        <v>6</v>
      </c>
      <c r="D5" s="25" t="n">
        <v>3</v>
      </c>
      <c r="E5" s="25" t="str">
        <f aca="false">IF(A5="","",IF(COUNTIF($A$5:$A$79,A5)&gt;1,"Yes — appears "&amp;COUNTIF($A$5:$A$79,A5)&amp;" times","No"))</f>
        <v>No</v>
      </c>
      <c r="F5" s="25" t="s">
        <v>15</v>
      </c>
      <c r="G5" s="25" t="s">
        <v>269</v>
      </c>
      <c r="H5" s="25" t="s">
        <v>270</v>
      </c>
    </row>
    <row r="6" customFormat="false" ht="15" hidden="false" customHeight="true" outlineLevel="0" collapsed="false">
      <c r="A6" s="25" t="s">
        <v>271</v>
      </c>
      <c r="B6" s="25" t="s">
        <v>272</v>
      </c>
      <c r="C6" s="25" t="n">
        <v>4</v>
      </c>
      <c r="D6" s="25" t="n">
        <v>2</v>
      </c>
      <c r="E6" s="25" t="str">
        <f aca="false">IF(A6="","",IF(COUNTIF($A$5:$A$79,A6)&gt;1,"Yes — appears "&amp;COUNTIF($A$5:$A$79,A6)&amp;" times","No"))</f>
        <v>No</v>
      </c>
      <c r="F6" s="25" t="s">
        <v>14</v>
      </c>
      <c r="G6" s="25" t="s">
        <v>273</v>
      </c>
      <c r="H6" s="25" t="s">
        <v>270</v>
      </c>
    </row>
    <row r="7" customFormat="false" ht="15" hidden="false" customHeight="true" outlineLevel="0" collapsed="false">
      <c r="A7" s="25" t="s">
        <v>274</v>
      </c>
      <c r="B7" s="25" t="s">
        <v>275</v>
      </c>
      <c r="C7" s="25" t="n">
        <v>5</v>
      </c>
      <c r="D7" s="25" t="n">
        <v>5</v>
      </c>
      <c r="E7" s="25" t="str">
        <f aca="false">IF(A7="","",IF(COUNTIF($A$5:$A$79,A7)&gt;1,"Yes — appears "&amp;COUNTIF($A$5:$A$79,A7)&amp;" times","No"))</f>
        <v>No</v>
      </c>
      <c r="F7" s="25" t="s">
        <v>14</v>
      </c>
      <c r="G7" s="25" t="s">
        <v>276</v>
      </c>
      <c r="H7" s="25" t="s">
        <v>270</v>
      </c>
    </row>
    <row r="8" customFormat="false" ht="15" hidden="false" customHeight="true" outlineLevel="0" collapsed="false">
      <c r="A8" s="25" t="s">
        <v>277</v>
      </c>
      <c r="B8" s="25" t="s">
        <v>278</v>
      </c>
      <c r="C8" s="25" t="n">
        <v>1</v>
      </c>
      <c r="D8" s="25" t="n">
        <v>8</v>
      </c>
      <c r="E8" s="25" t="str">
        <f aca="false">IF(A8="","",IF(COUNTIF($A$5:$A$79,A8)&gt;1,"Yes — appears "&amp;COUNTIF($A$5:$A$79,A8)&amp;" times","No"))</f>
        <v>No</v>
      </c>
      <c r="F8" s="25" t="s">
        <v>17</v>
      </c>
      <c r="G8" s="25" t="s">
        <v>279</v>
      </c>
      <c r="H8" s="25" t="s">
        <v>270</v>
      </c>
    </row>
    <row r="9" customFormat="false" ht="15" hidden="false" customHeight="true" outlineLevel="0" collapsed="false">
      <c r="A9" s="25" t="s">
        <v>280</v>
      </c>
      <c r="B9" s="25" t="s">
        <v>281</v>
      </c>
      <c r="C9" s="25" t="n">
        <v>7</v>
      </c>
      <c r="D9" s="25" t="n">
        <v>7</v>
      </c>
      <c r="E9" s="25" t="str">
        <f aca="false">IF(A9="","",IF(COUNTIF($A$5:$A$79,A9)&gt;1,"Yes — appears "&amp;COUNTIF($A$5:$A$79,A9)&amp;" times","No"))</f>
        <v>No</v>
      </c>
      <c r="F9" s="25" t="s">
        <v>16</v>
      </c>
      <c r="G9" s="25" t="s">
        <v>282</v>
      </c>
      <c r="H9" s="25" t="s">
        <v>270</v>
      </c>
    </row>
    <row r="10" customFormat="false" ht="15" hidden="false" customHeight="true" outlineLevel="0" collapsed="false">
      <c r="A10" s="25" t="s">
        <v>13</v>
      </c>
      <c r="B10" s="25" t="s">
        <v>283</v>
      </c>
      <c r="C10" s="25" t="n">
        <v>1</v>
      </c>
      <c r="D10" s="25" t="n">
        <v>65</v>
      </c>
      <c r="E10" s="25" t="str">
        <f aca="false">IF(A10="","",IF(COUNTIF($A$5:$A$79,A10)&gt;1,"Yes — appears "&amp;COUNTIF($A$5:$A$79,A10)&amp;" times","No"))</f>
        <v>No</v>
      </c>
      <c r="F10" s="25" t="s">
        <v>13</v>
      </c>
      <c r="G10" s="25" t="s">
        <v>284</v>
      </c>
      <c r="H10" s="25" t="s">
        <v>270</v>
      </c>
    </row>
    <row r="11" customFormat="false" ht="15" hidden="false" customHeight="true" outlineLevel="0" collapsed="false">
      <c r="A11" s="25" t="s">
        <v>285</v>
      </c>
      <c r="B11" s="25" t="s">
        <v>286</v>
      </c>
      <c r="C11" s="25" t="n">
        <v>2</v>
      </c>
      <c r="D11" s="25" t="n">
        <v>77</v>
      </c>
      <c r="E11" s="25" t="str">
        <f aca="false">IF(A11="","",IF(COUNTIF($A$5:$A$79,A11)&gt;1,"Yes — appears "&amp;COUNTIF($A$5:$A$79,A11)&amp;" times","No"))</f>
        <v>No</v>
      </c>
      <c r="F11" s="25" t="s">
        <v>17</v>
      </c>
      <c r="G11" s="25" t="s">
        <v>287</v>
      </c>
      <c r="H11" s="25" t="s">
        <v>270</v>
      </c>
    </row>
    <row r="12" customFormat="false" ht="15" hidden="false" customHeight="true" outlineLevel="0" collapsed="false">
      <c r="A12" s="25" t="s">
        <v>288</v>
      </c>
      <c r="B12" s="25" t="s">
        <v>289</v>
      </c>
      <c r="C12" s="25" t="n">
        <v>14</v>
      </c>
      <c r="D12" s="25" t="n">
        <v>12</v>
      </c>
      <c r="E12" s="25" t="str">
        <f aca="false">IF(A12="","",IF(COUNTIF($A$5:$A$79,A12)&gt;1,"Yes — appears "&amp;COUNTIF($A$5:$A$79,A12)&amp;" times","No"))</f>
        <v>No</v>
      </c>
      <c r="F12" s="25" t="s">
        <v>16</v>
      </c>
      <c r="G12" s="25" t="s">
        <v>290</v>
      </c>
      <c r="H12" s="25" t="s">
        <v>270</v>
      </c>
    </row>
    <row r="13" customFormat="false" ht="15" hidden="false" customHeight="true" outlineLevel="0" collapsed="false">
      <c r="A13" s="25" t="s">
        <v>291</v>
      </c>
      <c r="B13" s="25" t="s">
        <v>292</v>
      </c>
      <c r="C13" s="25" t="n">
        <v>8</v>
      </c>
      <c r="D13" s="25" t="s">
        <v>293</v>
      </c>
      <c r="E13" s="25" t="str">
        <f aca="false">IF(A13="","",IF(COUNTIF($A$5:$A$79,A13)&gt;1,"Yes — appears "&amp;COUNTIF($A$5:$A$79,A13)&amp;" times","No"))</f>
        <v>No</v>
      </c>
      <c r="F13" s="25" t="s">
        <v>20</v>
      </c>
      <c r="G13" s="25" t="s">
        <v>294</v>
      </c>
      <c r="H13" s="25" t="s">
        <v>295</v>
      </c>
    </row>
    <row r="14" customFormat="false" ht="15" hidden="false" customHeight="true" outlineLevel="0" collapsed="false">
      <c r="A14" s="25" t="s">
        <v>296</v>
      </c>
      <c r="B14" s="25" t="s">
        <v>297</v>
      </c>
      <c r="C14" s="25" t="n">
        <v>5</v>
      </c>
      <c r="D14" s="25" t="s">
        <v>293</v>
      </c>
      <c r="E14" s="25" t="str">
        <f aca="false">IF(A14="","",IF(COUNTIF($A$5:$A$79,A14)&gt;1,"Yes — appears "&amp;COUNTIF($A$5:$A$79,A14)&amp;" times","No"))</f>
        <v>No</v>
      </c>
      <c r="F14" s="25" t="s">
        <v>20</v>
      </c>
      <c r="G14" s="25" t="s">
        <v>294</v>
      </c>
      <c r="H14" s="25" t="s">
        <v>295</v>
      </c>
    </row>
    <row r="15" customFormat="false" ht="15" hidden="false" customHeight="true" outlineLevel="0" collapsed="false">
      <c r="A15" s="25" t="s">
        <v>298</v>
      </c>
      <c r="B15" s="25" t="s">
        <v>299</v>
      </c>
      <c r="C15" s="25" t="n">
        <v>9</v>
      </c>
      <c r="D15" s="25" t="s">
        <v>293</v>
      </c>
      <c r="E15" s="25" t="str">
        <f aca="false">IF(A15="","",IF(COUNTIF($A$5:$A$79,A15)&gt;1,"Yes — appears "&amp;COUNTIF($A$5:$A$79,A15)&amp;" times","No"))</f>
        <v>No</v>
      </c>
      <c r="F15" s="25" t="s">
        <v>20</v>
      </c>
      <c r="G15" s="25" t="s">
        <v>294</v>
      </c>
      <c r="H15" s="25" t="s">
        <v>295</v>
      </c>
    </row>
    <row r="16" customFormat="false" ht="15" hidden="false" customHeight="true" outlineLevel="0" collapsed="false">
      <c r="A16" s="25" t="s">
        <v>300</v>
      </c>
      <c r="B16" s="25" t="s">
        <v>299</v>
      </c>
      <c r="C16" s="25" t="n">
        <v>4</v>
      </c>
      <c r="D16" s="25" t="s">
        <v>293</v>
      </c>
      <c r="E16" s="25" t="str">
        <f aca="false">IF(A16="","",IF(COUNTIF($A$5:$A$79,A16)&gt;1,"Yes — appears "&amp;COUNTIF($A$5:$A$79,A16)&amp;" times","No"))</f>
        <v>No</v>
      </c>
      <c r="F16" s="25" t="s">
        <v>20</v>
      </c>
      <c r="G16" s="25" t="s">
        <v>294</v>
      </c>
      <c r="H16" s="25" t="s">
        <v>295</v>
      </c>
    </row>
    <row r="17" customFormat="false" ht="15" hidden="false" customHeight="true" outlineLevel="0" collapsed="false">
      <c r="A17" s="25" t="s">
        <v>301</v>
      </c>
      <c r="B17" s="25" t="s">
        <v>292</v>
      </c>
      <c r="C17" s="25" t="n">
        <v>19</v>
      </c>
      <c r="D17" s="25" t="s">
        <v>293</v>
      </c>
      <c r="E17" s="25" t="str">
        <f aca="false">IF(A17="","",IF(COUNTIF($A$5:$A$79,A17)&gt;1,"Yes — appears "&amp;COUNTIF($A$5:$A$79,A17)&amp;" times","No"))</f>
        <v>No</v>
      </c>
      <c r="F17" s="25" t="s">
        <v>20</v>
      </c>
      <c r="G17" s="25" t="s">
        <v>294</v>
      </c>
      <c r="H17" s="25" t="s">
        <v>295</v>
      </c>
    </row>
    <row r="18" customFormat="false" ht="15" hidden="false" customHeight="true" outlineLevel="0" collapsed="false">
      <c r="A18" s="25" t="s">
        <v>302</v>
      </c>
      <c r="B18" s="25" t="s">
        <v>297</v>
      </c>
      <c r="C18" s="25" t="n">
        <v>0</v>
      </c>
      <c r="D18" s="25" t="s">
        <v>293</v>
      </c>
      <c r="E18" s="25" t="str">
        <f aca="false">IF(A18="","",IF(COUNTIF($A$5:$A$79,A18)&gt;1,"Yes — appears "&amp;COUNTIF($A$5:$A$79,A18)&amp;" times","No"))</f>
        <v>No</v>
      </c>
      <c r="F18" s="25" t="s">
        <v>20</v>
      </c>
      <c r="G18" s="25" t="s">
        <v>294</v>
      </c>
      <c r="H18" s="25" t="s">
        <v>295</v>
      </c>
    </row>
    <row r="19" customFormat="false" ht="15" hidden="false" customHeight="true" outlineLevel="0" collapsed="false">
      <c r="A19" s="25" t="s">
        <v>303</v>
      </c>
      <c r="B19" s="25" t="s">
        <v>304</v>
      </c>
      <c r="C19" s="25" t="n">
        <v>1</v>
      </c>
      <c r="D19" s="25" t="s">
        <v>293</v>
      </c>
      <c r="E19" s="25" t="str">
        <f aca="false">IF(A19="","",IF(COUNTIF($A$5:$A$79,A19)&gt;1,"Yes — appears "&amp;COUNTIF($A$5:$A$79,A19)&amp;" times","No"))</f>
        <v>No</v>
      </c>
      <c r="F19" s="25" t="s">
        <v>20</v>
      </c>
      <c r="G19" s="25" t="s">
        <v>294</v>
      </c>
      <c r="H19" s="25" t="s">
        <v>295</v>
      </c>
    </row>
    <row r="20" customFormat="false" ht="15" hidden="false" customHeight="true" outlineLevel="0" collapsed="false">
      <c r="A20" s="25" t="s">
        <v>305</v>
      </c>
      <c r="B20" s="25" t="s">
        <v>304</v>
      </c>
      <c r="C20" s="25" t="n">
        <v>2</v>
      </c>
      <c r="D20" s="25" t="s">
        <v>293</v>
      </c>
      <c r="E20" s="25" t="str">
        <f aca="false">IF(A20="","",IF(COUNTIF($A$5:$A$79,A20)&gt;1,"Yes — appears "&amp;COUNTIF($A$5:$A$79,A20)&amp;" times","No"))</f>
        <v>No</v>
      </c>
      <c r="F20" s="25" t="s">
        <v>20</v>
      </c>
      <c r="G20" s="25" t="s">
        <v>294</v>
      </c>
      <c r="H20" s="25" t="s">
        <v>295</v>
      </c>
    </row>
    <row r="21" customFormat="false" ht="15" hidden="false" customHeight="true" outlineLevel="0" collapsed="false">
      <c r="A21" s="26"/>
      <c r="B21" s="26"/>
      <c r="C21" s="26"/>
      <c r="D21" s="5" t="str">
        <f aca="false">IFERROR(INDEX('All 99 episodes'!$A$2:$A$100,MATCH(A21,'All 99 episodes'!$B$2:$B$100,0)),IF(A21="","","No exact match — check by hand"))</f>
        <v/>
      </c>
      <c r="E21" s="5" t="str">
        <f aca="false">IF(A21="","",IF(COUNTIF($A$5:$A$79,A21)&gt;1,"Yes — appears "&amp;COUNTIF($A$5:$A$79,A21)&amp;" times","No"))</f>
        <v/>
      </c>
      <c r="F21" s="5" t="str">
        <f aca="false">IFERROR(INDEX('All 99 episodes'!$E$2:$E$100,MATCH(A21,'All 99 episodes'!$B$2:$B$100,0)),"")</f>
        <v/>
      </c>
      <c r="G21" s="5"/>
    </row>
    <row r="22" customFormat="false" ht="15" hidden="false" customHeight="true" outlineLevel="0" collapsed="false">
      <c r="A22" s="26"/>
      <c r="B22" s="26"/>
      <c r="C22" s="26"/>
      <c r="D22" s="5" t="str">
        <f aca="false">IFERROR(INDEX('All 99 episodes'!$A$2:$A$100,MATCH(A22,'All 99 episodes'!$B$2:$B$100,0)),IF(A22="","","No exact match — check by hand"))</f>
        <v/>
      </c>
      <c r="E22" s="5" t="str">
        <f aca="false">IF(A22="","",IF(COUNTIF($A$5:$A$79,A22)&gt;1,"Yes — appears "&amp;COUNTIF($A$5:$A$79,A22)&amp;" times","No"))</f>
        <v/>
      </c>
      <c r="F22" s="5" t="str">
        <f aca="false">IFERROR(INDEX('All 99 episodes'!$E$2:$E$100,MATCH(A22,'All 99 episodes'!$B$2:$B$100,0)),"")</f>
        <v/>
      </c>
      <c r="G22" s="5"/>
    </row>
    <row r="23" customFormat="false" ht="15" hidden="false" customHeight="true" outlineLevel="0" collapsed="false">
      <c r="A23" s="26"/>
      <c r="B23" s="26"/>
      <c r="C23" s="26"/>
      <c r="D23" s="5" t="str">
        <f aca="false">IFERROR(INDEX('All 99 episodes'!$A$2:$A$100,MATCH(A23,'All 99 episodes'!$B$2:$B$100,0)),IF(A23="","","No exact match — check by hand"))</f>
        <v/>
      </c>
      <c r="E23" s="5" t="str">
        <f aca="false">IF(A23="","",IF(COUNTIF($A$5:$A$79,A23)&gt;1,"Yes — appears "&amp;COUNTIF($A$5:$A$79,A23)&amp;" times","No"))</f>
        <v/>
      </c>
      <c r="F23" s="5" t="str">
        <f aca="false">IFERROR(INDEX('All 99 episodes'!$E$2:$E$100,MATCH(A23,'All 99 episodes'!$B$2:$B$100,0)),"")</f>
        <v/>
      </c>
      <c r="G23" s="5"/>
    </row>
    <row r="24" customFormat="false" ht="15" hidden="false" customHeight="true" outlineLevel="0" collapsed="false">
      <c r="A24" s="26"/>
      <c r="B24" s="26"/>
      <c r="C24" s="26"/>
      <c r="D24" s="5" t="str">
        <f aca="false">IFERROR(INDEX('All 99 episodes'!$A$2:$A$100,MATCH(A24,'All 99 episodes'!$B$2:$B$100,0)),IF(A24="","","No exact match — check by hand"))</f>
        <v/>
      </c>
      <c r="E24" s="5" t="str">
        <f aca="false">IF(A24="","",IF(COUNTIF($A$5:$A$79,A24)&gt;1,"Yes — appears "&amp;COUNTIF($A$5:$A$79,A24)&amp;" times","No"))</f>
        <v/>
      </c>
      <c r="F24" s="5" t="str">
        <f aca="false">IFERROR(INDEX('All 99 episodes'!$E$2:$E$100,MATCH(A24,'All 99 episodes'!$B$2:$B$100,0)),"")</f>
        <v/>
      </c>
      <c r="G24" s="5"/>
    </row>
    <row r="25" customFormat="false" ht="15" hidden="false" customHeight="true" outlineLevel="0" collapsed="false">
      <c r="A25" s="26"/>
      <c r="B25" s="26"/>
      <c r="C25" s="26"/>
      <c r="D25" s="5" t="str">
        <f aca="false">IFERROR(INDEX('All 99 episodes'!$A$2:$A$100,MATCH(A25,'All 99 episodes'!$B$2:$B$100,0)),IF(A25="","","No exact match — check by hand"))</f>
        <v/>
      </c>
      <c r="E25" s="5" t="str">
        <f aca="false">IF(A25="","",IF(COUNTIF($A$5:$A$79,A25)&gt;1,"Yes — appears "&amp;COUNTIF($A$5:$A$79,A25)&amp;" times","No"))</f>
        <v/>
      </c>
      <c r="F25" s="5" t="str">
        <f aca="false">IFERROR(INDEX('All 99 episodes'!$E$2:$E$100,MATCH(A25,'All 99 episodes'!$B$2:$B$100,0)),"")</f>
        <v/>
      </c>
      <c r="G25" s="5"/>
    </row>
    <row r="26" customFormat="false" ht="15" hidden="false" customHeight="true" outlineLevel="0" collapsed="false">
      <c r="A26" s="26"/>
      <c r="B26" s="26"/>
      <c r="C26" s="26"/>
      <c r="D26" s="5" t="str">
        <f aca="false">IFERROR(INDEX('All 99 episodes'!$A$2:$A$100,MATCH(A26,'All 99 episodes'!$B$2:$B$100,0)),IF(A26="","","No exact match — check by hand"))</f>
        <v/>
      </c>
      <c r="E26" s="5" t="str">
        <f aca="false">IF(A26="","",IF(COUNTIF($A$5:$A$79,A26)&gt;1,"Yes — appears "&amp;COUNTIF($A$5:$A$79,A26)&amp;" times","No"))</f>
        <v/>
      </c>
      <c r="F26" s="5" t="str">
        <f aca="false">IFERROR(INDEX('All 99 episodes'!$E$2:$E$100,MATCH(A26,'All 99 episodes'!$B$2:$B$100,0)),"")</f>
        <v/>
      </c>
      <c r="G26" s="5"/>
    </row>
    <row r="27" customFormat="false" ht="15" hidden="false" customHeight="true" outlineLevel="0" collapsed="false">
      <c r="A27" s="26"/>
      <c r="B27" s="26"/>
      <c r="C27" s="26"/>
      <c r="D27" s="5" t="str">
        <f aca="false">IFERROR(INDEX('All 99 episodes'!$A$2:$A$100,MATCH(A27,'All 99 episodes'!$B$2:$B$100,0)),IF(A27="","","No exact match — check by hand"))</f>
        <v/>
      </c>
      <c r="E27" s="5" t="str">
        <f aca="false">IF(A27="","",IF(COUNTIF($A$5:$A$79,A27)&gt;1,"Yes — appears "&amp;COUNTIF($A$5:$A$79,A27)&amp;" times","No"))</f>
        <v/>
      </c>
      <c r="F27" s="5" t="str">
        <f aca="false">IFERROR(INDEX('All 99 episodes'!$E$2:$E$100,MATCH(A27,'All 99 episodes'!$B$2:$B$100,0)),"")</f>
        <v/>
      </c>
      <c r="G27" s="5"/>
    </row>
    <row r="28" customFormat="false" ht="15" hidden="false" customHeight="true" outlineLevel="0" collapsed="false">
      <c r="A28" s="26"/>
      <c r="B28" s="26"/>
      <c r="C28" s="26"/>
      <c r="D28" s="5" t="str">
        <f aca="false">IFERROR(INDEX('All 99 episodes'!$A$2:$A$100,MATCH(A28,'All 99 episodes'!$B$2:$B$100,0)),IF(A28="","","No exact match — check by hand"))</f>
        <v/>
      </c>
      <c r="E28" s="5" t="str">
        <f aca="false">IF(A28="","",IF(COUNTIF($A$5:$A$79,A28)&gt;1,"Yes — appears "&amp;COUNTIF($A$5:$A$79,A28)&amp;" times","No"))</f>
        <v/>
      </c>
      <c r="F28" s="5" t="str">
        <f aca="false">IFERROR(INDEX('All 99 episodes'!$E$2:$E$100,MATCH(A28,'All 99 episodes'!$B$2:$B$100,0)),"")</f>
        <v/>
      </c>
      <c r="G28" s="5"/>
    </row>
    <row r="29" customFormat="false" ht="15" hidden="false" customHeight="true" outlineLevel="0" collapsed="false">
      <c r="A29" s="26"/>
      <c r="B29" s="26"/>
      <c r="C29" s="26"/>
      <c r="D29" s="5" t="str">
        <f aca="false">IFERROR(INDEX('All 99 episodes'!$A$2:$A$100,MATCH(A29,'All 99 episodes'!$B$2:$B$100,0)),IF(A29="","","No exact match — check by hand"))</f>
        <v/>
      </c>
      <c r="E29" s="5" t="str">
        <f aca="false">IF(A29="","",IF(COUNTIF($A$5:$A$79,A29)&gt;1,"Yes — appears "&amp;COUNTIF($A$5:$A$79,A29)&amp;" times","No"))</f>
        <v/>
      </c>
      <c r="F29" s="5" t="str">
        <f aca="false">IFERROR(INDEX('All 99 episodes'!$E$2:$E$100,MATCH(A29,'All 99 episodes'!$B$2:$B$100,0)),"")</f>
        <v/>
      </c>
      <c r="G29" s="5"/>
    </row>
    <row r="30" customFormat="false" ht="15" hidden="false" customHeight="true" outlineLevel="0" collapsed="false">
      <c r="A30" s="26"/>
      <c r="B30" s="26"/>
      <c r="C30" s="26"/>
      <c r="D30" s="5" t="str">
        <f aca="false">IFERROR(INDEX('All 99 episodes'!$A$2:$A$100,MATCH(A30,'All 99 episodes'!$B$2:$B$100,0)),IF(A30="","","No exact match — check by hand"))</f>
        <v/>
      </c>
      <c r="E30" s="5" t="str">
        <f aca="false">IF(A30="","",IF(COUNTIF($A$5:$A$79,A30)&gt;1,"Yes — appears "&amp;COUNTIF($A$5:$A$79,A30)&amp;" times","No"))</f>
        <v/>
      </c>
      <c r="F30" s="5" t="str">
        <f aca="false">IFERROR(INDEX('All 99 episodes'!$E$2:$E$100,MATCH(A30,'All 99 episodes'!$B$2:$B$100,0)),"")</f>
        <v/>
      </c>
      <c r="G30" s="5"/>
    </row>
    <row r="31" customFormat="false" ht="15" hidden="false" customHeight="true" outlineLevel="0" collapsed="false">
      <c r="A31" s="26"/>
      <c r="B31" s="26"/>
      <c r="C31" s="26"/>
      <c r="D31" s="5" t="str">
        <f aca="false">IFERROR(INDEX('All 99 episodes'!$A$2:$A$100,MATCH(A31,'All 99 episodes'!$B$2:$B$100,0)),IF(A31="","","No exact match — check by hand"))</f>
        <v/>
      </c>
      <c r="E31" s="5" t="str">
        <f aca="false">IF(A31="","",IF(COUNTIF($A$5:$A$79,A31)&gt;1,"Yes — appears "&amp;COUNTIF($A$5:$A$79,A31)&amp;" times","No"))</f>
        <v/>
      </c>
      <c r="F31" s="5" t="str">
        <f aca="false">IFERROR(INDEX('All 99 episodes'!$E$2:$E$100,MATCH(A31,'All 99 episodes'!$B$2:$B$100,0)),"")</f>
        <v/>
      </c>
      <c r="G31" s="5"/>
    </row>
    <row r="32" customFormat="false" ht="15" hidden="false" customHeight="true" outlineLevel="0" collapsed="false">
      <c r="A32" s="26"/>
      <c r="B32" s="26"/>
      <c r="C32" s="26"/>
      <c r="D32" s="5" t="str">
        <f aca="false">IFERROR(INDEX('All 99 episodes'!$A$2:$A$100,MATCH(A32,'All 99 episodes'!$B$2:$B$100,0)),IF(A32="","","No exact match — check by hand"))</f>
        <v/>
      </c>
      <c r="E32" s="5" t="str">
        <f aca="false">IF(A32="","",IF(COUNTIF($A$5:$A$79,A32)&gt;1,"Yes — appears "&amp;COUNTIF($A$5:$A$79,A32)&amp;" times","No"))</f>
        <v/>
      </c>
      <c r="F32" s="5" t="str">
        <f aca="false">IFERROR(INDEX('All 99 episodes'!$E$2:$E$100,MATCH(A32,'All 99 episodes'!$B$2:$B$100,0)),"")</f>
        <v/>
      </c>
      <c r="G32" s="5"/>
    </row>
    <row r="33" customFormat="false" ht="15" hidden="false" customHeight="true" outlineLevel="0" collapsed="false">
      <c r="A33" s="26"/>
      <c r="B33" s="26"/>
      <c r="C33" s="26"/>
      <c r="D33" s="5" t="str">
        <f aca="false">IFERROR(INDEX('All 99 episodes'!$A$2:$A$100,MATCH(A33,'All 99 episodes'!$B$2:$B$100,0)),IF(A33="","","No exact match — check by hand"))</f>
        <v/>
      </c>
      <c r="E33" s="5" t="str">
        <f aca="false">IF(A33="","",IF(COUNTIF($A$5:$A$79,A33)&gt;1,"Yes — appears "&amp;COUNTIF($A$5:$A$79,A33)&amp;" times","No"))</f>
        <v/>
      </c>
      <c r="F33" s="5" t="str">
        <f aca="false">IFERROR(INDEX('All 99 episodes'!$E$2:$E$100,MATCH(A33,'All 99 episodes'!$B$2:$B$100,0)),"")</f>
        <v/>
      </c>
      <c r="G33" s="5"/>
    </row>
    <row r="34" customFormat="false" ht="15" hidden="false" customHeight="true" outlineLevel="0" collapsed="false">
      <c r="A34" s="26"/>
      <c r="B34" s="26"/>
      <c r="C34" s="26"/>
      <c r="D34" s="5" t="str">
        <f aca="false">IFERROR(INDEX('All 99 episodes'!$A$2:$A$100,MATCH(A34,'All 99 episodes'!$B$2:$B$100,0)),IF(A34="","","No exact match — check by hand"))</f>
        <v/>
      </c>
      <c r="E34" s="5" t="str">
        <f aca="false">IF(A34="","",IF(COUNTIF($A$5:$A$79,A34)&gt;1,"Yes — appears "&amp;COUNTIF($A$5:$A$79,A34)&amp;" times","No"))</f>
        <v/>
      </c>
      <c r="F34" s="5" t="str">
        <f aca="false">IFERROR(INDEX('All 99 episodes'!$E$2:$E$100,MATCH(A34,'All 99 episodes'!$B$2:$B$100,0)),"")</f>
        <v/>
      </c>
      <c r="G34" s="5"/>
    </row>
    <row r="35" customFormat="false" ht="15" hidden="false" customHeight="true" outlineLevel="0" collapsed="false">
      <c r="A35" s="26"/>
      <c r="B35" s="26"/>
      <c r="C35" s="26"/>
      <c r="D35" s="5" t="str">
        <f aca="false">IFERROR(INDEX('All 99 episodes'!$A$2:$A$100,MATCH(A35,'All 99 episodes'!$B$2:$B$100,0)),IF(A35="","","No exact match — check by hand"))</f>
        <v/>
      </c>
      <c r="E35" s="5" t="str">
        <f aca="false">IF(A35="","",IF(COUNTIF($A$5:$A$79,A35)&gt;1,"Yes — appears "&amp;COUNTIF($A$5:$A$79,A35)&amp;" times","No"))</f>
        <v/>
      </c>
      <c r="F35" s="5" t="str">
        <f aca="false">IFERROR(INDEX('All 99 episodes'!$E$2:$E$100,MATCH(A35,'All 99 episodes'!$B$2:$B$100,0)),"")</f>
        <v/>
      </c>
      <c r="G35" s="5"/>
    </row>
    <row r="36" customFormat="false" ht="15" hidden="false" customHeight="true" outlineLevel="0" collapsed="false">
      <c r="A36" s="26"/>
      <c r="B36" s="26"/>
      <c r="C36" s="26"/>
      <c r="D36" s="5" t="str">
        <f aca="false">IFERROR(INDEX('All 99 episodes'!$A$2:$A$100,MATCH(A36,'All 99 episodes'!$B$2:$B$100,0)),IF(A36="","","No exact match — check by hand"))</f>
        <v/>
      </c>
      <c r="E36" s="5" t="str">
        <f aca="false">IF(A36="","",IF(COUNTIF($A$5:$A$79,A36)&gt;1,"Yes — appears "&amp;COUNTIF($A$5:$A$79,A36)&amp;" times","No"))</f>
        <v/>
      </c>
      <c r="F36" s="5" t="str">
        <f aca="false">IFERROR(INDEX('All 99 episodes'!$E$2:$E$100,MATCH(A36,'All 99 episodes'!$B$2:$B$100,0)),"")</f>
        <v/>
      </c>
      <c r="G36" s="5"/>
    </row>
    <row r="37" customFormat="false" ht="15" hidden="false" customHeight="true" outlineLevel="0" collapsed="false">
      <c r="A37" s="26"/>
      <c r="B37" s="26"/>
      <c r="C37" s="26"/>
      <c r="D37" s="5" t="str">
        <f aca="false">IFERROR(INDEX('All 99 episodes'!$A$2:$A$100,MATCH(A37,'All 99 episodes'!$B$2:$B$100,0)),IF(A37="","","No exact match — check by hand"))</f>
        <v/>
      </c>
      <c r="E37" s="5" t="str">
        <f aca="false">IF(A37="","",IF(COUNTIF($A$5:$A$79,A37)&gt;1,"Yes — appears "&amp;COUNTIF($A$5:$A$79,A37)&amp;" times","No"))</f>
        <v/>
      </c>
      <c r="F37" s="5" t="str">
        <f aca="false">IFERROR(INDEX('All 99 episodes'!$E$2:$E$100,MATCH(A37,'All 99 episodes'!$B$2:$B$100,0)),"")</f>
        <v/>
      </c>
      <c r="G37" s="5"/>
    </row>
    <row r="38" customFormat="false" ht="15" hidden="false" customHeight="true" outlineLevel="0" collapsed="false">
      <c r="A38" s="26"/>
      <c r="B38" s="26"/>
      <c r="C38" s="26"/>
      <c r="D38" s="5" t="str">
        <f aca="false">IFERROR(INDEX('All 99 episodes'!$A$2:$A$100,MATCH(A38,'All 99 episodes'!$B$2:$B$100,0)),IF(A38="","","No exact match — check by hand"))</f>
        <v/>
      </c>
      <c r="E38" s="5" t="str">
        <f aca="false">IF(A38="","",IF(COUNTIF($A$5:$A$79,A38)&gt;1,"Yes — appears "&amp;COUNTIF($A$5:$A$79,A38)&amp;" times","No"))</f>
        <v/>
      </c>
      <c r="F38" s="5" t="str">
        <f aca="false">IFERROR(INDEX('All 99 episodes'!$E$2:$E$100,MATCH(A38,'All 99 episodes'!$B$2:$B$100,0)),"")</f>
        <v/>
      </c>
      <c r="G38" s="5"/>
    </row>
    <row r="39" customFormat="false" ht="15" hidden="false" customHeight="true" outlineLevel="0" collapsed="false">
      <c r="A39" s="26"/>
      <c r="B39" s="26"/>
      <c r="C39" s="26"/>
      <c r="D39" s="5" t="str">
        <f aca="false">IFERROR(INDEX('All 99 episodes'!$A$2:$A$100,MATCH(A39,'All 99 episodes'!$B$2:$B$100,0)),IF(A39="","","No exact match — check by hand"))</f>
        <v/>
      </c>
      <c r="E39" s="5" t="str">
        <f aca="false">IF(A39="","",IF(COUNTIF($A$5:$A$79,A39)&gt;1,"Yes — appears "&amp;COUNTIF($A$5:$A$79,A39)&amp;" times","No"))</f>
        <v/>
      </c>
      <c r="F39" s="5" t="str">
        <f aca="false">IFERROR(INDEX('All 99 episodes'!$E$2:$E$100,MATCH(A39,'All 99 episodes'!$B$2:$B$100,0)),"")</f>
        <v/>
      </c>
      <c r="G39" s="5"/>
    </row>
    <row r="40" customFormat="false" ht="15" hidden="false" customHeight="true" outlineLevel="0" collapsed="false">
      <c r="A40" s="26"/>
      <c r="B40" s="26"/>
      <c r="C40" s="26"/>
      <c r="D40" s="5" t="str">
        <f aca="false">IFERROR(INDEX('All 99 episodes'!$A$2:$A$100,MATCH(A40,'All 99 episodes'!$B$2:$B$100,0)),IF(A40="","","No exact match — check by hand"))</f>
        <v/>
      </c>
      <c r="E40" s="5" t="str">
        <f aca="false">IF(A40="","",IF(COUNTIF($A$5:$A$79,A40)&gt;1,"Yes — appears "&amp;COUNTIF($A$5:$A$79,A40)&amp;" times","No"))</f>
        <v/>
      </c>
      <c r="F40" s="5" t="str">
        <f aca="false">IFERROR(INDEX('All 99 episodes'!$E$2:$E$100,MATCH(A40,'All 99 episodes'!$B$2:$B$100,0)),"")</f>
        <v/>
      </c>
      <c r="G40" s="5"/>
    </row>
    <row r="41" customFormat="false" ht="15" hidden="false" customHeight="true" outlineLevel="0" collapsed="false">
      <c r="A41" s="26"/>
      <c r="B41" s="26"/>
      <c r="C41" s="26"/>
      <c r="D41" s="5" t="str">
        <f aca="false">IFERROR(INDEX('All 99 episodes'!$A$2:$A$100,MATCH(A41,'All 99 episodes'!$B$2:$B$100,0)),IF(A41="","","No exact match — check by hand"))</f>
        <v/>
      </c>
      <c r="E41" s="5" t="str">
        <f aca="false">IF(A41="","",IF(COUNTIF($A$5:$A$79,A41)&gt;1,"Yes — appears "&amp;COUNTIF($A$5:$A$79,A41)&amp;" times","No"))</f>
        <v/>
      </c>
      <c r="F41" s="5" t="str">
        <f aca="false">IFERROR(INDEX('All 99 episodes'!$E$2:$E$100,MATCH(A41,'All 99 episodes'!$B$2:$B$100,0)),"")</f>
        <v/>
      </c>
      <c r="G41" s="5"/>
    </row>
    <row r="42" customFormat="false" ht="15" hidden="false" customHeight="true" outlineLevel="0" collapsed="false">
      <c r="A42" s="26"/>
      <c r="B42" s="26"/>
      <c r="C42" s="26"/>
      <c r="D42" s="5" t="str">
        <f aca="false">IFERROR(INDEX('All 99 episodes'!$A$2:$A$100,MATCH(A42,'All 99 episodes'!$B$2:$B$100,0)),IF(A42="","","No exact match — check by hand"))</f>
        <v/>
      </c>
      <c r="E42" s="5" t="str">
        <f aca="false">IF(A42="","",IF(COUNTIF($A$5:$A$79,A42)&gt;1,"Yes — appears "&amp;COUNTIF($A$5:$A$79,A42)&amp;" times","No"))</f>
        <v/>
      </c>
      <c r="F42" s="5" t="str">
        <f aca="false">IFERROR(INDEX('All 99 episodes'!$E$2:$E$100,MATCH(A42,'All 99 episodes'!$B$2:$B$100,0)),"")</f>
        <v/>
      </c>
      <c r="G42" s="5"/>
    </row>
    <row r="43" customFormat="false" ht="15" hidden="false" customHeight="true" outlineLevel="0" collapsed="false">
      <c r="A43" s="26"/>
      <c r="B43" s="26"/>
      <c r="C43" s="26"/>
      <c r="D43" s="5" t="str">
        <f aca="false">IFERROR(INDEX('All 99 episodes'!$A$2:$A$100,MATCH(A43,'All 99 episodes'!$B$2:$B$100,0)),IF(A43="","","No exact match — check by hand"))</f>
        <v/>
      </c>
      <c r="E43" s="5" t="str">
        <f aca="false">IF(A43="","",IF(COUNTIF($A$5:$A$79,A43)&gt;1,"Yes — appears "&amp;COUNTIF($A$5:$A$79,A43)&amp;" times","No"))</f>
        <v/>
      </c>
      <c r="F43" s="5" t="str">
        <f aca="false">IFERROR(INDEX('All 99 episodes'!$E$2:$E$100,MATCH(A43,'All 99 episodes'!$B$2:$B$100,0)),"")</f>
        <v/>
      </c>
      <c r="G43" s="5"/>
    </row>
    <row r="44" customFormat="false" ht="15" hidden="false" customHeight="true" outlineLevel="0" collapsed="false">
      <c r="A44" s="26"/>
      <c r="B44" s="26"/>
      <c r="C44" s="26"/>
      <c r="D44" s="5" t="str">
        <f aca="false">IFERROR(INDEX('All 99 episodes'!$A$2:$A$100,MATCH(A44,'All 99 episodes'!$B$2:$B$100,0)),IF(A44="","","No exact match — check by hand"))</f>
        <v/>
      </c>
      <c r="E44" s="5" t="str">
        <f aca="false">IF(A44="","",IF(COUNTIF($A$5:$A$79,A44)&gt;1,"Yes — appears "&amp;COUNTIF($A$5:$A$79,A44)&amp;" times","No"))</f>
        <v/>
      </c>
      <c r="F44" s="5" t="str">
        <f aca="false">IFERROR(INDEX('All 99 episodes'!$E$2:$E$100,MATCH(A44,'All 99 episodes'!$B$2:$B$100,0)),"")</f>
        <v/>
      </c>
      <c r="G44" s="5"/>
    </row>
    <row r="45" customFormat="false" ht="15" hidden="false" customHeight="true" outlineLevel="0" collapsed="false">
      <c r="A45" s="26"/>
      <c r="B45" s="26"/>
      <c r="C45" s="26"/>
      <c r="D45" s="5" t="str">
        <f aca="false">IFERROR(INDEX('All 99 episodes'!$A$2:$A$100,MATCH(A45,'All 99 episodes'!$B$2:$B$100,0)),IF(A45="","","No exact match — check by hand"))</f>
        <v/>
      </c>
      <c r="E45" s="5" t="str">
        <f aca="false">IF(A45="","",IF(COUNTIF($A$5:$A$79,A45)&gt;1,"Yes — appears "&amp;COUNTIF($A$5:$A$79,A45)&amp;" times","No"))</f>
        <v/>
      </c>
      <c r="F45" s="5" t="str">
        <f aca="false">IFERROR(INDEX('All 99 episodes'!$E$2:$E$100,MATCH(A45,'All 99 episodes'!$B$2:$B$100,0)),"")</f>
        <v/>
      </c>
      <c r="G45" s="5"/>
    </row>
    <row r="46" customFormat="false" ht="15" hidden="false" customHeight="true" outlineLevel="0" collapsed="false">
      <c r="A46" s="26"/>
      <c r="B46" s="26"/>
      <c r="C46" s="26"/>
      <c r="D46" s="5" t="str">
        <f aca="false">IFERROR(INDEX('All 99 episodes'!$A$2:$A$100,MATCH(A46,'All 99 episodes'!$B$2:$B$100,0)),IF(A46="","","No exact match — check by hand"))</f>
        <v/>
      </c>
      <c r="E46" s="5" t="str">
        <f aca="false">IF(A46="","",IF(COUNTIF($A$5:$A$79,A46)&gt;1,"Yes — appears "&amp;COUNTIF($A$5:$A$79,A46)&amp;" times","No"))</f>
        <v/>
      </c>
      <c r="F46" s="5" t="str">
        <f aca="false">IFERROR(INDEX('All 99 episodes'!$E$2:$E$100,MATCH(A46,'All 99 episodes'!$B$2:$B$100,0)),"")</f>
        <v/>
      </c>
      <c r="G46" s="5"/>
    </row>
    <row r="47" customFormat="false" ht="15" hidden="false" customHeight="true" outlineLevel="0" collapsed="false">
      <c r="A47" s="26"/>
      <c r="B47" s="26"/>
      <c r="C47" s="26"/>
      <c r="D47" s="5" t="str">
        <f aca="false">IFERROR(INDEX('All 99 episodes'!$A$2:$A$100,MATCH(A47,'All 99 episodes'!$B$2:$B$100,0)),IF(A47="","","No exact match — check by hand"))</f>
        <v/>
      </c>
      <c r="E47" s="5" t="str">
        <f aca="false">IF(A47="","",IF(COUNTIF($A$5:$A$79,A47)&gt;1,"Yes — appears "&amp;COUNTIF($A$5:$A$79,A47)&amp;" times","No"))</f>
        <v/>
      </c>
      <c r="F47" s="5" t="str">
        <f aca="false">IFERROR(INDEX('All 99 episodes'!$E$2:$E$100,MATCH(A47,'All 99 episodes'!$B$2:$B$100,0)),"")</f>
        <v/>
      </c>
      <c r="G47" s="5"/>
    </row>
    <row r="48" customFormat="false" ht="15" hidden="false" customHeight="true" outlineLevel="0" collapsed="false">
      <c r="A48" s="26"/>
      <c r="B48" s="26"/>
      <c r="C48" s="26"/>
      <c r="D48" s="5" t="str">
        <f aca="false">IFERROR(INDEX('All 99 episodes'!$A$2:$A$100,MATCH(A48,'All 99 episodes'!$B$2:$B$100,0)),IF(A48="","","No exact match — check by hand"))</f>
        <v/>
      </c>
      <c r="E48" s="5" t="str">
        <f aca="false">IF(A48="","",IF(COUNTIF($A$5:$A$79,A48)&gt;1,"Yes — appears "&amp;COUNTIF($A$5:$A$79,A48)&amp;" times","No"))</f>
        <v/>
      </c>
      <c r="F48" s="5" t="str">
        <f aca="false">IFERROR(INDEX('All 99 episodes'!$E$2:$E$100,MATCH(A48,'All 99 episodes'!$B$2:$B$100,0)),"")</f>
        <v/>
      </c>
      <c r="G48" s="5"/>
    </row>
    <row r="49" customFormat="false" ht="15" hidden="false" customHeight="true" outlineLevel="0" collapsed="false">
      <c r="A49" s="26"/>
      <c r="B49" s="26"/>
      <c r="C49" s="26"/>
      <c r="D49" s="5" t="str">
        <f aca="false">IFERROR(INDEX('All 99 episodes'!$A$2:$A$100,MATCH(A49,'All 99 episodes'!$B$2:$B$100,0)),IF(A49="","","No exact match — check by hand"))</f>
        <v/>
      </c>
      <c r="E49" s="5" t="str">
        <f aca="false">IF(A49="","",IF(COUNTIF($A$5:$A$79,A49)&gt;1,"Yes — appears "&amp;COUNTIF($A$5:$A$79,A49)&amp;" times","No"))</f>
        <v/>
      </c>
      <c r="F49" s="5" t="str">
        <f aca="false">IFERROR(INDEX('All 99 episodes'!$E$2:$E$100,MATCH(A49,'All 99 episodes'!$B$2:$B$100,0)),"")</f>
        <v/>
      </c>
      <c r="G49" s="5"/>
    </row>
    <row r="50" customFormat="false" ht="15" hidden="false" customHeight="true" outlineLevel="0" collapsed="false">
      <c r="A50" s="26"/>
      <c r="B50" s="26"/>
      <c r="C50" s="26"/>
      <c r="D50" s="5" t="str">
        <f aca="false">IFERROR(INDEX('All 99 episodes'!$A$2:$A$100,MATCH(A50,'All 99 episodes'!$B$2:$B$100,0)),IF(A50="","","No exact match — check by hand"))</f>
        <v/>
      </c>
      <c r="E50" s="5" t="str">
        <f aca="false">IF(A50="","",IF(COUNTIF($A$5:$A$79,A50)&gt;1,"Yes — appears "&amp;COUNTIF($A$5:$A$79,A50)&amp;" times","No"))</f>
        <v/>
      </c>
      <c r="F50" s="5" t="str">
        <f aca="false">IFERROR(INDEX('All 99 episodes'!$E$2:$E$100,MATCH(A50,'All 99 episodes'!$B$2:$B$100,0)),"")</f>
        <v/>
      </c>
      <c r="G50" s="5"/>
    </row>
    <row r="51" customFormat="false" ht="15" hidden="false" customHeight="true" outlineLevel="0" collapsed="false">
      <c r="A51" s="26"/>
      <c r="B51" s="26"/>
      <c r="C51" s="26"/>
      <c r="D51" s="5" t="str">
        <f aca="false">IFERROR(INDEX('All 99 episodes'!$A$2:$A$100,MATCH(A51,'All 99 episodes'!$B$2:$B$100,0)),IF(A51="","","No exact match — check by hand"))</f>
        <v/>
      </c>
      <c r="E51" s="5" t="str">
        <f aca="false">IF(A51="","",IF(COUNTIF($A$5:$A$79,A51)&gt;1,"Yes — appears "&amp;COUNTIF($A$5:$A$79,A51)&amp;" times","No"))</f>
        <v/>
      </c>
      <c r="F51" s="5" t="str">
        <f aca="false">IFERROR(INDEX('All 99 episodes'!$E$2:$E$100,MATCH(A51,'All 99 episodes'!$B$2:$B$100,0)),"")</f>
        <v/>
      </c>
      <c r="G51" s="5"/>
    </row>
    <row r="52" customFormat="false" ht="15" hidden="false" customHeight="true" outlineLevel="0" collapsed="false">
      <c r="A52" s="26"/>
      <c r="B52" s="26"/>
      <c r="C52" s="26"/>
      <c r="D52" s="5" t="str">
        <f aca="false">IFERROR(INDEX('All 99 episodes'!$A$2:$A$100,MATCH(A52,'All 99 episodes'!$B$2:$B$100,0)),IF(A52="","","No exact match — check by hand"))</f>
        <v/>
      </c>
      <c r="E52" s="5" t="str">
        <f aca="false">IF(A52="","",IF(COUNTIF($A$5:$A$79,A52)&gt;1,"Yes — appears "&amp;COUNTIF($A$5:$A$79,A52)&amp;" times","No"))</f>
        <v/>
      </c>
      <c r="F52" s="5" t="str">
        <f aca="false">IFERROR(INDEX('All 99 episodes'!$E$2:$E$100,MATCH(A52,'All 99 episodes'!$B$2:$B$100,0)),"")</f>
        <v/>
      </c>
      <c r="G52" s="5"/>
    </row>
    <row r="53" customFormat="false" ht="15" hidden="false" customHeight="true" outlineLevel="0" collapsed="false">
      <c r="A53" s="26"/>
      <c r="B53" s="26"/>
      <c r="C53" s="26"/>
      <c r="D53" s="5" t="str">
        <f aca="false">IFERROR(INDEX('All 99 episodes'!$A$2:$A$100,MATCH(A53,'All 99 episodes'!$B$2:$B$100,0)),IF(A53="","","No exact match — check by hand"))</f>
        <v/>
      </c>
      <c r="E53" s="5" t="str">
        <f aca="false">IF(A53="","",IF(COUNTIF($A$5:$A$79,A53)&gt;1,"Yes — appears "&amp;COUNTIF($A$5:$A$79,A53)&amp;" times","No"))</f>
        <v/>
      </c>
      <c r="F53" s="5" t="str">
        <f aca="false">IFERROR(INDEX('All 99 episodes'!$E$2:$E$100,MATCH(A53,'All 99 episodes'!$B$2:$B$100,0)),"")</f>
        <v/>
      </c>
      <c r="G53" s="5"/>
    </row>
    <row r="54" customFormat="false" ht="15" hidden="false" customHeight="true" outlineLevel="0" collapsed="false">
      <c r="A54" s="26"/>
      <c r="B54" s="26"/>
      <c r="C54" s="26"/>
      <c r="D54" s="5" t="str">
        <f aca="false">IFERROR(INDEX('All 99 episodes'!$A$2:$A$100,MATCH(A54,'All 99 episodes'!$B$2:$B$100,0)),IF(A54="","","No exact match — check by hand"))</f>
        <v/>
      </c>
      <c r="E54" s="5" t="str">
        <f aca="false">IF(A54="","",IF(COUNTIF($A$5:$A$79,A54)&gt;1,"Yes — appears "&amp;COUNTIF($A$5:$A$79,A54)&amp;" times","No"))</f>
        <v/>
      </c>
      <c r="F54" s="5" t="str">
        <f aca="false">IFERROR(INDEX('All 99 episodes'!$E$2:$E$100,MATCH(A54,'All 99 episodes'!$B$2:$B$100,0)),"")</f>
        <v/>
      </c>
      <c r="G54" s="5"/>
    </row>
    <row r="55" customFormat="false" ht="15" hidden="false" customHeight="true" outlineLevel="0" collapsed="false">
      <c r="A55" s="26"/>
      <c r="B55" s="26"/>
      <c r="C55" s="26"/>
      <c r="D55" s="5" t="str">
        <f aca="false">IFERROR(INDEX('All 99 episodes'!$A$2:$A$100,MATCH(A55,'All 99 episodes'!$B$2:$B$100,0)),IF(A55="","","No exact match — check by hand"))</f>
        <v/>
      </c>
      <c r="E55" s="5" t="str">
        <f aca="false">IF(A55="","",IF(COUNTIF($A$5:$A$79,A55)&gt;1,"Yes — appears "&amp;COUNTIF($A$5:$A$79,A55)&amp;" times","No"))</f>
        <v/>
      </c>
      <c r="F55" s="5" t="str">
        <f aca="false">IFERROR(INDEX('All 99 episodes'!$E$2:$E$100,MATCH(A55,'All 99 episodes'!$B$2:$B$100,0)),"")</f>
        <v/>
      </c>
      <c r="G55" s="5"/>
    </row>
    <row r="56" customFormat="false" ht="15" hidden="false" customHeight="true" outlineLevel="0" collapsed="false">
      <c r="A56" s="26"/>
      <c r="B56" s="26"/>
      <c r="C56" s="26"/>
      <c r="D56" s="5" t="str">
        <f aca="false">IFERROR(INDEX('All 99 episodes'!$A$2:$A$100,MATCH(A56,'All 99 episodes'!$B$2:$B$100,0)),IF(A56="","","No exact match — check by hand"))</f>
        <v/>
      </c>
      <c r="E56" s="5" t="str">
        <f aca="false">IF(A56="","",IF(COUNTIF($A$5:$A$79,A56)&gt;1,"Yes — appears "&amp;COUNTIF($A$5:$A$79,A56)&amp;" times","No"))</f>
        <v/>
      </c>
      <c r="F56" s="5" t="str">
        <f aca="false">IFERROR(INDEX('All 99 episodes'!$E$2:$E$100,MATCH(A56,'All 99 episodes'!$B$2:$B$100,0)),"")</f>
        <v/>
      </c>
      <c r="G56" s="5"/>
    </row>
    <row r="57" customFormat="false" ht="15" hidden="false" customHeight="true" outlineLevel="0" collapsed="false">
      <c r="A57" s="26"/>
      <c r="B57" s="26"/>
      <c r="C57" s="26"/>
      <c r="D57" s="5" t="str">
        <f aca="false">IFERROR(INDEX('All 99 episodes'!$A$2:$A$100,MATCH(A57,'All 99 episodes'!$B$2:$B$100,0)),IF(A57="","","No exact match — check by hand"))</f>
        <v/>
      </c>
      <c r="E57" s="5" t="str">
        <f aca="false">IF(A57="","",IF(COUNTIF($A$5:$A$79,A57)&gt;1,"Yes — appears "&amp;COUNTIF($A$5:$A$79,A57)&amp;" times","No"))</f>
        <v/>
      </c>
      <c r="F57" s="5" t="str">
        <f aca="false">IFERROR(INDEX('All 99 episodes'!$E$2:$E$100,MATCH(A57,'All 99 episodes'!$B$2:$B$100,0)),"")</f>
        <v/>
      </c>
      <c r="G57" s="5"/>
    </row>
    <row r="58" customFormat="false" ht="15" hidden="false" customHeight="true" outlineLevel="0" collapsed="false">
      <c r="A58" s="26"/>
      <c r="B58" s="26"/>
      <c r="C58" s="26"/>
      <c r="D58" s="5" t="str">
        <f aca="false">IFERROR(INDEX('All 99 episodes'!$A$2:$A$100,MATCH(A58,'All 99 episodes'!$B$2:$B$100,0)),IF(A58="","","No exact match — check by hand"))</f>
        <v/>
      </c>
      <c r="E58" s="5" t="str">
        <f aca="false">IF(A58="","",IF(COUNTIF($A$5:$A$79,A58)&gt;1,"Yes — appears "&amp;COUNTIF($A$5:$A$79,A58)&amp;" times","No"))</f>
        <v/>
      </c>
      <c r="F58" s="5" t="str">
        <f aca="false">IFERROR(INDEX('All 99 episodes'!$E$2:$E$100,MATCH(A58,'All 99 episodes'!$B$2:$B$100,0)),"")</f>
        <v/>
      </c>
      <c r="G58" s="5"/>
    </row>
    <row r="59" customFormat="false" ht="15" hidden="false" customHeight="true" outlineLevel="0" collapsed="false">
      <c r="A59" s="26"/>
      <c r="B59" s="26"/>
      <c r="C59" s="26"/>
      <c r="D59" s="5" t="str">
        <f aca="false">IFERROR(INDEX('All 99 episodes'!$A$2:$A$100,MATCH(A59,'All 99 episodes'!$B$2:$B$100,0)),IF(A59="","","No exact match — check by hand"))</f>
        <v/>
      </c>
      <c r="E59" s="5" t="str">
        <f aca="false">IF(A59="","",IF(COUNTIF($A$5:$A$79,A59)&gt;1,"Yes — appears "&amp;COUNTIF($A$5:$A$79,A59)&amp;" times","No"))</f>
        <v/>
      </c>
      <c r="F59" s="5" t="str">
        <f aca="false">IFERROR(INDEX('All 99 episodes'!$E$2:$E$100,MATCH(A59,'All 99 episodes'!$B$2:$B$100,0)),"")</f>
        <v/>
      </c>
      <c r="G59" s="5"/>
    </row>
    <row r="60" customFormat="false" ht="15" hidden="false" customHeight="true" outlineLevel="0" collapsed="false">
      <c r="A60" s="26"/>
      <c r="B60" s="26"/>
      <c r="C60" s="26"/>
      <c r="D60" s="5" t="str">
        <f aca="false">IFERROR(INDEX('All 99 episodes'!$A$2:$A$100,MATCH(A60,'All 99 episodes'!$B$2:$B$100,0)),IF(A60="","","No exact match — check by hand"))</f>
        <v/>
      </c>
      <c r="E60" s="5" t="str">
        <f aca="false">IF(A60="","",IF(COUNTIF($A$5:$A$79,A60)&gt;1,"Yes — appears "&amp;COUNTIF($A$5:$A$79,A60)&amp;" times","No"))</f>
        <v/>
      </c>
      <c r="F60" s="5" t="str">
        <f aca="false">IFERROR(INDEX('All 99 episodes'!$E$2:$E$100,MATCH(A60,'All 99 episodes'!$B$2:$B$100,0)),"")</f>
        <v/>
      </c>
      <c r="G60" s="5"/>
    </row>
    <row r="61" customFormat="false" ht="15" hidden="false" customHeight="true" outlineLevel="0" collapsed="false">
      <c r="A61" s="26"/>
      <c r="B61" s="26"/>
      <c r="C61" s="26"/>
      <c r="D61" s="5" t="str">
        <f aca="false">IFERROR(INDEX('All 99 episodes'!$A$2:$A$100,MATCH(A61,'All 99 episodes'!$B$2:$B$100,0)),IF(A61="","","No exact match — check by hand"))</f>
        <v/>
      </c>
      <c r="E61" s="5" t="str">
        <f aca="false">IF(A61="","",IF(COUNTIF($A$5:$A$79,A61)&gt;1,"Yes — appears "&amp;COUNTIF($A$5:$A$79,A61)&amp;" times","No"))</f>
        <v/>
      </c>
      <c r="F61" s="5" t="str">
        <f aca="false">IFERROR(INDEX('All 99 episodes'!$E$2:$E$100,MATCH(A61,'All 99 episodes'!$B$2:$B$100,0)),"")</f>
        <v/>
      </c>
      <c r="G61" s="5"/>
    </row>
    <row r="62" customFormat="false" ht="15" hidden="false" customHeight="true" outlineLevel="0" collapsed="false">
      <c r="A62" s="26"/>
      <c r="B62" s="26"/>
      <c r="C62" s="26"/>
      <c r="D62" s="5" t="str">
        <f aca="false">IFERROR(INDEX('All 99 episodes'!$A$2:$A$100,MATCH(A62,'All 99 episodes'!$B$2:$B$100,0)),IF(A62="","","No exact match — check by hand"))</f>
        <v/>
      </c>
      <c r="E62" s="5" t="str">
        <f aca="false">IF(A62="","",IF(COUNTIF($A$5:$A$79,A62)&gt;1,"Yes — appears "&amp;COUNTIF($A$5:$A$79,A62)&amp;" times","No"))</f>
        <v/>
      </c>
      <c r="F62" s="5" t="str">
        <f aca="false">IFERROR(INDEX('All 99 episodes'!$E$2:$E$100,MATCH(A62,'All 99 episodes'!$B$2:$B$100,0)),"")</f>
        <v/>
      </c>
      <c r="G62" s="5"/>
    </row>
    <row r="63" customFormat="false" ht="15" hidden="false" customHeight="true" outlineLevel="0" collapsed="false">
      <c r="A63" s="26"/>
      <c r="B63" s="26"/>
      <c r="C63" s="26"/>
      <c r="D63" s="5" t="str">
        <f aca="false">IFERROR(INDEX('All 99 episodes'!$A$2:$A$100,MATCH(A63,'All 99 episodes'!$B$2:$B$100,0)),IF(A63="","","No exact match — check by hand"))</f>
        <v/>
      </c>
      <c r="E63" s="5" t="str">
        <f aca="false">IF(A63="","",IF(COUNTIF($A$5:$A$79,A63)&gt;1,"Yes — appears "&amp;COUNTIF($A$5:$A$79,A63)&amp;" times","No"))</f>
        <v/>
      </c>
      <c r="F63" s="5" t="str">
        <f aca="false">IFERROR(INDEX('All 99 episodes'!$E$2:$E$100,MATCH(A63,'All 99 episodes'!$B$2:$B$100,0)),"")</f>
        <v/>
      </c>
      <c r="G63" s="5"/>
    </row>
    <row r="64" customFormat="false" ht="15" hidden="false" customHeight="true" outlineLevel="0" collapsed="false">
      <c r="A64" s="26"/>
      <c r="B64" s="26"/>
      <c r="C64" s="26"/>
      <c r="D64" s="5" t="str">
        <f aca="false">IFERROR(INDEX('All 99 episodes'!$A$2:$A$100,MATCH(A64,'All 99 episodes'!$B$2:$B$100,0)),IF(A64="","","No exact match — check by hand"))</f>
        <v/>
      </c>
      <c r="E64" s="5" t="str">
        <f aca="false">IF(A64="","",IF(COUNTIF($A$5:$A$79,A64)&gt;1,"Yes — appears "&amp;COUNTIF($A$5:$A$79,A64)&amp;" times","No"))</f>
        <v/>
      </c>
      <c r="F64" s="5" t="str">
        <f aca="false">IFERROR(INDEX('All 99 episodes'!$E$2:$E$100,MATCH(A64,'All 99 episodes'!$B$2:$B$100,0)),"")</f>
        <v/>
      </c>
      <c r="G64" s="5"/>
    </row>
    <row r="65" customFormat="false" ht="15" hidden="false" customHeight="true" outlineLevel="0" collapsed="false">
      <c r="A65" s="26"/>
      <c r="B65" s="26"/>
      <c r="C65" s="26"/>
      <c r="D65" s="5" t="str">
        <f aca="false">IFERROR(INDEX('All 99 episodes'!$A$2:$A$100,MATCH(A65,'All 99 episodes'!$B$2:$B$100,0)),IF(A65="","","No exact match — check by hand"))</f>
        <v/>
      </c>
      <c r="E65" s="5" t="str">
        <f aca="false">IF(A65="","",IF(COUNTIF($A$5:$A$79,A65)&gt;1,"Yes — appears "&amp;COUNTIF($A$5:$A$79,A65)&amp;" times","No"))</f>
        <v/>
      </c>
      <c r="F65" s="5" t="str">
        <f aca="false">IFERROR(INDEX('All 99 episodes'!$E$2:$E$100,MATCH(A65,'All 99 episodes'!$B$2:$B$100,0)),"")</f>
        <v/>
      </c>
      <c r="G65" s="5"/>
    </row>
    <row r="66" customFormat="false" ht="15" hidden="false" customHeight="true" outlineLevel="0" collapsed="false">
      <c r="A66" s="26"/>
      <c r="B66" s="26"/>
      <c r="C66" s="26"/>
      <c r="D66" s="5" t="str">
        <f aca="false">IFERROR(INDEX('All 99 episodes'!$A$2:$A$100,MATCH(A66,'All 99 episodes'!$B$2:$B$100,0)),IF(A66="","","No exact match — check by hand"))</f>
        <v/>
      </c>
      <c r="E66" s="5" t="str">
        <f aca="false">IF(A66="","",IF(COUNTIF($A$5:$A$79,A66)&gt;1,"Yes — appears "&amp;COUNTIF($A$5:$A$79,A66)&amp;" times","No"))</f>
        <v/>
      </c>
      <c r="F66" s="5" t="str">
        <f aca="false">IFERROR(INDEX('All 99 episodes'!$E$2:$E$100,MATCH(A66,'All 99 episodes'!$B$2:$B$100,0)),"")</f>
        <v/>
      </c>
      <c r="G66" s="5"/>
    </row>
    <row r="67" customFormat="false" ht="15" hidden="false" customHeight="true" outlineLevel="0" collapsed="false">
      <c r="A67" s="26"/>
      <c r="B67" s="26"/>
      <c r="C67" s="26"/>
      <c r="D67" s="5" t="str">
        <f aca="false">IFERROR(INDEX('All 99 episodes'!$A$2:$A$100,MATCH(A67,'All 99 episodes'!$B$2:$B$100,0)),IF(A67="","","No exact match — check by hand"))</f>
        <v/>
      </c>
      <c r="E67" s="5" t="str">
        <f aca="false">IF(A67="","",IF(COUNTIF($A$5:$A$79,A67)&gt;1,"Yes — appears "&amp;COUNTIF($A$5:$A$79,A67)&amp;" times","No"))</f>
        <v/>
      </c>
      <c r="F67" s="5" t="str">
        <f aca="false">IFERROR(INDEX('All 99 episodes'!$E$2:$E$100,MATCH(A67,'All 99 episodes'!$B$2:$B$100,0)),"")</f>
        <v/>
      </c>
      <c r="G67" s="5"/>
    </row>
    <row r="68" customFormat="false" ht="15" hidden="false" customHeight="true" outlineLevel="0" collapsed="false">
      <c r="A68" s="26"/>
      <c r="B68" s="26"/>
      <c r="C68" s="26"/>
      <c r="D68" s="5" t="str">
        <f aca="false">IFERROR(INDEX('All 99 episodes'!$A$2:$A$100,MATCH(A68,'All 99 episodes'!$B$2:$B$100,0)),IF(A68="","","No exact match — check by hand"))</f>
        <v/>
      </c>
      <c r="E68" s="5" t="str">
        <f aca="false">IF(A68="","",IF(COUNTIF($A$5:$A$79,A68)&gt;1,"Yes — appears "&amp;COUNTIF($A$5:$A$79,A68)&amp;" times","No"))</f>
        <v/>
      </c>
      <c r="F68" s="5" t="str">
        <f aca="false">IFERROR(INDEX('All 99 episodes'!$E$2:$E$100,MATCH(A68,'All 99 episodes'!$B$2:$B$100,0)),"")</f>
        <v/>
      </c>
      <c r="G68" s="5"/>
    </row>
    <row r="69" customFormat="false" ht="15" hidden="false" customHeight="true" outlineLevel="0" collapsed="false">
      <c r="A69" s="26"/>
      <c r="B69" s="26"/>
      <c r="C69" s="26"/>
      <c r="D69" s="5" t="str">
        <f aca="false">IFERROR(INDEX('All 99 episodes'!$A$2:$A$100,MATCH(A69,'All 99 episodes'!$B$2:$B$100,0)),IF(A69="","","No exact match — check by hand"))</f>
        <v/>
      </c>
      <c r="E69" s="5" t="str">
        <f aca="false">IF(A69="","",IF(COUNTIF($A$5:$A$79,A69)&gt;1,"Yes — appears "&amp;COUNTIF($A$5:$A$79,A69)&amp;" times","No"))</f>
        <v/>
      </c>
      <c r="F69" s="5" t="str">
        <f aca="false">IFERROR(INDEX('All 99 episodes'!$E$2:$E$100,MATCH(A69,'All 99 episodes'!$B$2:$B$100,0)),"")</f>
        <v/>
      </c>
      <c r="G69" s="5"/>
    </row>
    <row r="70" customFormat="false" ht="15" hidden="false" customHeight="true" outlineLevel="0" collapsed="false">
      <c r="A70" s="26"/>
      <c r="B70" s="26"/>
      <c r="C70" s="26"/>
      <c r="D70" s="5" t="str">
        <f aca="false">IFERROR(INDEX('All 99 episodes'!$A$2:$A$100,MATCH(A70,'All 99 episodes'!$B$2:$B$100,0)),IF(A70="","","No exact match — check by hand"))</f>
        <v/>
      </c>
      <c r="E70" s="5" t="str">
        <f aca="false">IF(A70="","",IF(COUNTIF($A$5:$A$79,A70)&gt;1,"Yes — appears "&amp;COUNTIF($A$5:$A$79,A70)&amp;" times","No"))</f>
        <v/>
      </c>
      <c r="F70" s="5" t="str">
        <f aca="false">IFERROR(INDEX('All 99 episodes'!$E$2:$E$100,MATCH(A70,'All 99 episodes'!$B$2:$B$100,0)),"")</f>
        <v/>
      </c>
      <c r="G70" s="5"/>
    </row>
    <row r="71" customFormat="false" ht="15" hidden="false" customHeight="true" outlineLevel="0" collapsed="false">
      <c r="A71" s="26"/>
      <c r="B71" s="26"/>
      <c r="C71" s="26"/>
      <c r="D71" s="5" t="str">
        <f aca="false">IFERROR(INDEX('All 99 episodes'!$A$2:$A$100,MATCH(A71,'All 99 episodes'!$B$2:$B$100,0)),IF(A71="","","No exact match — check by hand"))</f>
        <v/>
      </c>
      <c r="E71" s="5" t="str">
        <f aca="false">IF(A71="","",IF(COUNTIF($A$5:$A$79,A71)&gt;1,"Yes — appears "&amp;COUNTIF($A$5:$A$79,A71)&amp;" times","No"))</f>
        <v/>
      </c>
      <c r="F71" s="5" t="str">
        <f aca="false">IFERROR(INDEX('All 99 episodes'!$E$2:$E$100,MATCH(A71,'All 99 episodes'!$B$2:$B$100,0)),"")</f>
        <v/>
      </c>
      <c r="G71" s="5"/>
    </row>
    <row r="72" customFormat="false" ht="15" hidden="false" customHeight="true" outlineLevel="0" collapsed="false">
      <c r="A72" s="26"/>
      <c r="B72" s="26"/>
      <c r="C72" s="26"/>
      <c r="D72" s="5" t="str">
        <f aca="false">IFERROR(INDEX('All 99 episodes'!$A$2:$A$100,MATCH(A72,'All 99 episodes'!$B$2:$B$100,0)),IF(A72="","","No exact match — check by hand"))</f>
        <v/>
      </c>
      <c r="E72" s="5" t="str">
        <f aca="false">IF(A72="","",IF(COUNTIF($A$5:$A$79,A72)&gt;1,"Yes — appears "&amp;COUNTIF($A$5:$A$79,A72)&amp;" times","No"))</f>
        <v/>
      </c>
      <c r="F72" s="5" t="str">
        <f aca="false">IFERROR(INDEX('All 99 episodes'!$E$2:$E$100,MATCH(A72,'All 99 episodes'!$B$2:$B$100,0)),"")</f>
        <v/>
      </c>
      <c r="G72" s="5"/>
    </row>
    <row r="73" customFormat="false" ht="15" hidden="false" customHeight="true" outlineLevel="0" collapsed="false">
      <c r="A73" s="26"/>
      <c r="B73" s="26"/>
      <c r="C73" s="26"/>
      <c r="D73" s="5" t="str">
        <f aca="false">IFERROR(INDEX('All 99 episodes'!$A$2:$A$100,MATCH(A73,'All 99 episodes'!$B$2:$B$100,0)),IF(A73="","","No exact match — check by hand"))</f>
        <v/>
      </c>
      <c r="E73" s="5" t="str">
        <f aca="false">IF(A73="","",IF(COUNTIF($A$5:$A$79,A73)&gt;1,"Yes — appears "&amp;COUNTIF($A$5:$A$79,A73)&amp;" times","No"))</f>
        <v/>
      </c>
      <c r="F73" s="5" t="str">
        <f aca="false">IFERROR(INDEX('All 99 episodes'!$E$2:$E$100,MATCH(A73,'All 99 episodes'!$B$2:$B$100,0)),"")</f>
        <v/>
      </c>
      <c r="G73" s="5"/>
    </row>
    <row r="74" customFormat="false" ht="15" hidden="false" customHeight="true" outlineLevel="0" collapsed="false">
      <c r="A74" s="26"/>
      <c r="B74" s="26"/>
      <c r="C74" s="26"/>
      <c r="D74" s="5" t="str">
        <f aca="false">IFERROR(INDEX('All 99 episodes'!$A$2:$A$100,MATCH(A74,'All 99 episodes'!$B$2:$B$100,0)),IF(A74="","","No exact match — check by hand"))</f>
        <v/>
      </c>
      <c r="E74" s="5" t="str">
        <f aca="false">IF(A74="","",IF(COUNTIF($A$5:$A$79,A74)&gt;1,"Yes — appears "&amp;COUNTIF($A$5:$A$79,A74)&amp;" times","No"))</f>
        <v/>
      </c>
      <c r="F74" s="5" t="str">
        <f aca="false">IFERROR(INDEX('All 99 episodes'!$E$2:$E$100,MATCH(A74,'All 99 episodes'!$B$2:$B$100,0)),"")</f>
        <v/>
      </c>
      <c r="G74" s="5"/>
    </row>
    <row r="75" customFormat="false" ht="15" hidden="false" customHeight="true" outlineLevel="0" collapsed="false">
      <c r="A75" s="26"/>
      <c r="B75" s="26"/>
      <c r="C75" s="26"/>
      <c r="D75" s="5" t="str">
        <f aca="false">IFERROR(INDEX('All 99 episodes'!$A$2:$A$100,MATCH(A75,'All 99 episodes'!$B$2:$B$100,0)),IF(A75="","","No exact match — check by hand"))</f>
        <v/>
      </c>
      <c r="E75" s="5" t="str">
        <f aca="false">IF(A75="","",IF(COUNTIF($A$5:$A$79,A75)&gt;1,"Yes — appears "&amp;COUNTIF($A$5:$A$79,A75)&amp;" times","No"))</f>
        <v/>
      </c>
      <c r="F75" s="5" t="str">
        <f aca="false">IFERROR(INDEX('All 99 episodes'!$E$2:$E$100,MATCH(A75,'All 99 episodes'!$B$2:$B$100,0)),"")</f>
        <v/>
      </c>
      <c r="G75" s="5"/>
    </row>
    <row r="76" customFormat="false" ht="15" hidden="false" customHeight="true" outlineLevel="0" collapsed="false">
      <c r="A76" s="26"/>
      <c r="B76" s="26"/>
      <c r="C76" s="26"/>
      <c r="D76" s="5" t="str">
        <f aca="false">IFERROR(INDEX('All 99 episodes'!$A$2:$A$100,MATCH(A76,'All 99 episodes'!$B$2:$B$100,0)),IF(A76="","","No exact match — check by hand"))</f>
        <v/>
      </c>
      <c r="E76" s="5" t="str">
        <f aca="false">IF(A76="","",IF(COUNTIF($A$5:$A$79,A76)&gt;1,"Yes — appears "&amp;COUNTIF($A$5:$A$79,A76)&amp;" times","No"))</f>
        <v/>
      </c>
      <c r="F76" s="5" t="str">
        <f aca="false">IFERROR(INDEX('All 99 episodes'!$E$2:$E$100,MATCH(A76,'All 99 episodes'!$B$2:$B$100,0)),"")</f>
        <v/>
      </c>
      <c r="G76" s="5"/>
    </row>
    <row r="77" customFormat="false" ht="15" hidden="false" customHeight="true" outlineLevel="0" collapsed="false">
      <c r="A77" s="26"/>
      <c r="B77" s="26"/>
      <c r="C77" s="26"/>
      <c r="D77" s="5" t="str">
        <f aca="false">IFERROR(INDEX('All 99 episodes'!$A$2:$A$100,MATCH(A77,'All 99 episodes'!$B$2:$B$100,0)),IF(A77="","","No exact match — check by hand"))</f>
        <v/>
      </c>
      <c r="E77" s="5" t="str">
        <f aca="false">IF(A77="","",IF(COUNTIF($A$5:$A$79,A77)&gt;1,"Yes — appears "&amp;COUNTIF($A$5:$A$79,A77)&amp;" times","No"))</f>
        <v/>
      </c>
      <c r="F77" s="5" t="str">
        <f aca="false">IFERROR(INDEX('All 99 episodes'!$E$2:$E$100,MATCH(A77,'All 99 episodes'!$B$2:$B$100,0)),"")</f>
        <v/>
      </c>
      <c r="G77" s="5"/>
    </row>
    <row r="78" customFormat="false" ht="15" hidden="false" customHeight="true" outlineLevel="0" collapsed="false">
      <c r="A78" s="26"/>
      <c r="B78" s="26"/>
      <c r="C78" s="26"/>
      <c r="D78" s="5" t="str">
        <f aca="false">IFERROR(INDEX('All 99 episodes'!$A$2:$A$100,MATCH(A78,'All 99 episodes'!$B$2:$B$100,0)),IF(A78="","","No exact match — check by hand"))</f>
        <v/>
      </c>
      <c r="E78" s="5" t="str">
        <f aca="false">IF(A78="","",IF(COUNTIF($A$5:$A$79,A78)&gt;1,"Yes — appears "&amp;COUNTIF($A$5:$A$79,A78)&amp;" times","No"))</f>
        <v/>
      </c>
      <c r="F78" s="5" t="str">
        <f aca="false">IFERROR(INDEX('All 99 episodes'!$E$2:$E$100,MATCH(A78,'All 99 episodes'!$B$2:$B$100,0)),"")</f>
        <v/>
      </c>
      <c r="G78" s="5"/>
    </row>
    <row r="79" customFormat="false" ht="15" hidden="false" customHeight="true" outlineLevel="0" collapsed="false">
      <c r="A79" s="26"/>
      <c r="B79" s="26"/>
      <c r="C79" s="26"/>
      <c r="D79" s="5" t="str">
        <f aca="false">IFERROR(INDEX('All 99 episodes'!$A$2:$A$100,MATCH(A79,'All 99 episodes'!$B$2:$B$100,0)),IF(A79="","","No exact match — check by hand"))</f>
        <v/>
      </c>
      <c r="E79" s="5" t="str">
        <f aca="false">IF(A79="","",IF(COUNTIF($A$5:$A$79,A79)&gt;1,"Yes — appears "&amp;COUNTIF($A$5:$A$79,A79)&amp;" times","No"))</f>
        <v/>
      </c>
      <c r="F79" s="5" t="str">
        <f aca="false">IFERROR(INDEX('All 99 episodes'!$E$2:$E$100,MATCH(A79,'All 99 episodes'!$B$2:$B$100,0)),"")</f>
        <v/>
      </c>
      <c r="G79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2026-09-29T09:10:50Z</dcterms:created>
  <dc:creator>openpyxl</dc:creator>
  <dc:description/>
  <dc:language>en-US</dc:language>
  <cp:lastModifiedBy/>
  <dcterms:modified xsi:type="dcterms:W3CDTF">2026-10-02T16:01:27Z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